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Lab Costs" sheetId="2" state="visible" r:id="rId4"/>
    <sheet name="Summary" sheetId="3" state="visible" r:id="rId5"/>
    <sheet name="Sensitivity" sheetId="4" state="visible" r:id="rId6"/>
    <sheet name="Sources &amp; Verification" sheetId="5" state="visible" r:id="rId7"/>
  </sheets>
  <definedNames>
    <definedName function="false" hidden="true" localSheetId="1" name="_xlnm._FilterDatabase" vbProcedure="false">'Lab Costs'!$A$4:$L$21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<sst xmlns="http://schemas.openxmlformats.org/spreadsheetml/2006/main" count="186" uniqueCount="149">
  <si>
    <t xml:space="preserve">Cost model inputs — edit BLUE cells only. Yellow = key assumption. Red = UNVERIFIED, must be confirmed before quoting.</t>
  </si>
  <si>
    <t xml:space="preserve">All prices USD, Azure East US, Linux pay-as-you-go, as published by third-party trackers on/around 2026-09-06 (approx). Re-check on Azure pricing calculator before delivery.</t>
  </si>
  <si>
    <t xml:space="preserve">SKU</t>
  </si>
  <si>
    <t xml:space="preserve">GPUs</t>
  </si>
  <si>
    <t xml:space="preserve">GPU memory (GB)</t>
  </si>
  <si>
    <t xml:space="preserve">VM $/hr (PAYG)</t>
  </si>
  <si>
    <t xml:space="preserve">Source / note</t>
  </si>
  <si>
    <t xml:space="preserve">Standard_NC4as_T4_v3</t>
  </si>
  <si>
    <t xml:space="preserve">1x T4 — thundercompute.com Azure GPU guide, reviewed 1 Sep 2026 (approx)</t>
  </si>
  <si>
    <t xml:space="preserve">Standard_NC24ads_A100_v4</t>
  </si>
  <si>
    <t xml:space="preserve">1x A100 80GB — azurespeed / vantage / holori agree, Jul–Sep 2026</t>
  </si>
  <si>
    <t xml:space="preserve">Standard_NC48ads_A100_v4</t>
  </si>
  <si>
    <t xml:space="preserve">2x A100 — vantage.sh, approx</t>
  </si>
  <si>
    <t xml:space="preserve">Standard_NC96ads_A100_v4</t>
  </si>
  <si>
    <t xml:space="preserve">4x A100 — thundercompute.com, approx</t>
  </si>
  <si>
    <t xml:space="preserve">Standard_NC40ads_H100_v5</t>
  </si>
  <si>
    <t xml:space="preserve">1x H100 NVL — thundercompute.com, approx</t>
  </si>
  <si>
    <t xml:space="preserve">Assumption</t>
  </si>
  <si>
    <t xml:space="preserve">Value</t>
  </si>
  <si>
    <t xml:space="preserve">Note</t>
  </si>
  <si>
    <t xml:space="preserve">DBU rate — All-Purpose compute, Premium ($/DBU)</t>
  </si>
  <si>
    <t xml:space="preserve">Multiple 2026 pricing guides agree ≈$0.55; confirm on Azure Databricks pricing page</t>
  </si>
  <si>
    <t xml:space="preserve">DBU rate — Jobs compute, Premium ($/DBU)</t>
  </si>
  <si>
    <t xml:space="preserve">≈$0.15 per several 2026 guides; confirm</t>
  </si>
  <si>
    <t xml:space="preserve">DBUs consumed per hour by the GPU VM (single node)</t>
  </si>
  <si>
    <t xml:space="preserve">UNVERIFIED PLACEHOLDER — not published in any source consulted. Read from databricks.com instance-types page or system.billing.usage after a 10-minute test run. See Sensitivity sheet.</t>
  </si>
  <si>
    <t xml:space="preserve">Cluster-running overhead factor (cluster up ÷ lab GPU-hours)</t>
  </si>
  <si>
    <t xml:space="preserve">Cluster runs during instruction, debugging and idle gaps; 1.6× is a trainer estimate — measure on cohort 1</t>
  </si>
  <si>
    <t xml:space="preserve">Participants sharing one single-node GPU cluster</t>
  </si>
  <si>
    <t xml:space="preserve">1 = one cluster per person. Set 2–3 if participants pair on a cluster (halves/thirds VM+DBU cost)</t>
  </si>
  <si>
    <t xml:space="preserve">Cohort size (people)</t>
  </si>
  <si>
    <t xml:space="preserve">For the cohort total on Summary</t>
  </si>
  <si>
    <t xml:space="preserve">Storage + networking allowance per person ($)</t>
  </si>
  <si>
    <t xml:space="preserve">Trainer allowance: Unity Catalog volume, model downloads, egress; small relative to GPU time</t>
  </si>
  <si>
    <t xml:space="preserve">Azure ML alternative — compute-instance only (no DBU): apply same VM $/hr</t>
  </si>
  <si>
    <t xml:space="preserve">1 = yes. Azure ML compute instances bill VM only (no DBU); managed endpoints bill VM-hours too</t>
  </si>
  <si>
    <t xml:space="preserve">Per-person cost by lab — every number is a formula from Inputs</t>
  </si>
  <si>
    <t xml:space="preserve">VM cost = GPU-hours × overhead × VM $/hr ÷ sharing.  DBU cost = GPU-hours × overhead × DBU/hr × DBU rate ÷ sharing.  Azure ML column = VM cost only.</t>
  </si>
  <si>
    <t xml:space="preserve">Lab</t>
  </si>
  <si>
    <t xml:space="preserve">Title</t>
  </si>
  <si>
    <t xml:space="preserve">Platform</t>
  </si>
  <si>
    <t xml:space="preserve">Lab hours</t>
  </si>
  <si>
    <t xml:space="preserve">GPU-hours (lab)</t>
  </si>
  <si>
    <t xml:space="preserve">VM $/hr</t>
  </si>
  <si>
    <t xml:space="preserve">Cluster hours (×overhead)</t>
  </si>
  <si>
    <t xml:space="preserve">VM cost ($)</t>
  </si>
  <si>
    <t xml:space="preserve">DBU cost ($)</t>
  </si>
  <si>
    <t xml:space="preserve">Databricks total ($)</t>
  </si>
  <si>
    <t xml:space="preserve">Azure ML VM-only ($)</t>
  </si>
  <si>
    <t xml:space="preserve">L01</t>
  </si>
  <si>
    <t xml:space="preserve">Platform baseline &amp; GPU sizing</t>
  </si>
  <si>
    <t xml:space="preserve">Both</t>
  </si>
  <si>
    <t xml:space="preserve">L02</t>
  </si>
  <si>
    <t xml:space="preserve">Shipping formats: safetensors, AWQ/GPTQ, GGUF, ONNX</t>
  </si>
  <si>
    <t xml:space="preserve">Databricks</t>
  </si>
  <si>
    <t xml:space="preserve">L03</t>
  </si>
  <si>
    <t xml:space="preserve">Serving bake-off: vLLM vs TensorRT-LLM vs SGLang</t>
  </si>
  <si>
    <t xml:space="preserve">L04</t>
  </si>
  <si>
    <t xml:space="preserve">Embeddings, vector retrieval &amp; recall evaluation</t>
  </si>
  <si>
    <t xml:space="preserve">L05</t>
  </si>
  <si>
    <t xml:space="preserve">GPU kernel optimisation: FlashAttention &amp; a fused kernel</t>
  </si>
  <si>
    <t xml:space="preserve">L06</t>
  </si>
  <si>
    <t xml:space="preserve">Mixture-of-Experts serving</t>
  </si>
  <si>
    <t xml:space="preserve">L07</t>
  </si>
  <si>
    <t xml:space="preserve">Stand up Gemma end-to-end: LoRA fine-tune, MLflow, Unity Catalog, serve</t>
  </si>
  <si>
    <t xml:space="preserve">L08</t>
  </si>
  <si>
    <t xml:space="preserve">Encoder classifiers at catalog scale (RoBERTa-class → ONNX → Spark)</t>
  </si>
  <si>
    <t xml:space="preserve">L09</t>
  </si>
  <si>
    <t xml:space="preserve">Evaluation harness &amp; CI/CD gating (with allergen zero-tolerance check)</t>
  </si>
  <si>
    <t xml:space="preserve">Azure ML</t>
  </si>
  <si>
    <t xml:space="preserve">L10</t>
  </si>
  <si>
    <t xml:space="preserve">Monitoring, drift &amp; injected-fault alerting</t>
  </si>
  <si>
    <t xml:space="preserve">L11</t>
  </si>
  <si>
    <t xml:space="preserve">Distributed serving: tensor parallel &amp; autoscaling on Ray</t>
  </si>
  <si>
    <t xml:space="preserve">L12</t>
  </si>
  <si>
    <t xml:space="preserve">A/B testing &amp; multi-armed bandits for rankers</t>
  </si>
  <si>
    <t xml:space="preserve">L13</t>
  </si>
  <si>
    <t xml:space="preserve">Data preparation pipelines: dedup, PII, data cards (Spark + Delta)</t>
  </si>
  <si>
    <t xml:space="preserve">L14</t>
  </si>
  <si>
    <t xml:space="preserve">Guardrails and structured outputs: input, retrieval and output gates</t>
  </si>
  <si>
    <t xml:space="preserve">L15</t>
  </si>
  <si>
    <t xml:space="preserve">RAG for the store-ops assistant: retrieval, grounding and faithfulness evaluation</t>
  </si>
  <si>
    <t xml:space="preserve">L16</t>
  </si>
  <si>
    <t xml:space="preserve">Tracing, lineage and replay-with-fixed-retrieval</t>
  </si>
  <si>
    <t xml:space="preserve">L17</t>
  </si>
  <si>
    <t xml:space="preserve">Token economics, model routing and capacity planning</t>
  </si>
  <si>
    <t xml:space="preserve">TOTAL</t>
  </si>
  <si>
    <t xml:space="preserve">Cost summary — per person and per cohort</t>
  </si>
  <si>
    <t xml:space="preserve">Metric</t>
  </si>
  <si>
    <t xml:space="preserve">Formula basis</t>
  </si>
  <si>
    <t xml:space="preserve">Total lab hours per person</t>
  </si>
  <si>
    <t xml:space="preserve">Sum of lab durations</t>
  </si>
  <si>
    <t xml:space="preserve">Total GPU-hours per person (lab time only)</t>
  </si>
  <si>
    <t xml:space="preserve">Sum of per-lab GPU-hours</t>
  </si>
  <si>
    <t xml:space="preserve">Cluster hours per person (with overhead)</t>
  </si>
  <si>
    <t xml:space="preserve">GPU-hours × overhead factor</t>
  </si>
  <si>
    <t xml:space="preserve">Databricks — VM cost per person</t>
  </si>
  <si>
    <t xml:space="preserve">Azure VM charges</t>
  </si>
  <si>
    <t xml:space="preserve">Databricks — DBU cost per person</t>
  </si>
  <si>
    <t xml:space="preserve">UNVERIFIED DBU/hr input — see Sensitivity</t>
  </si>
  <si>
    <t xml:space="preserve">Databricks — storage/network allowance per person</t>
  </si>
  <si>
    <t xml:space="preserve">Inputs</t>
  </si>
  <si>
    <t xml:space="preserve">Databricks — TOTAL per person</t>
  </si>
  <si>
    <t xml:space="preserve">VM + DBU + allowance</t>
  </si>
  <si>
    <t xml:space="preserve">Azure ML compute-instance alternative — per person (VM only)</t>
  </si>
  <si>
    <t xml:space="preserve">No DBU component</t>
  </si>
  <si>
    <t xml:space="preserve">Cohort total — Databricks</t>
  </si>
  <si>
    <t xml:space="preserve">× cohort size</t>
  </si>
  <si>
    <t xml:space="preserve">Cohort total — Azure ML</t>
  </si>
  <si>
    <t xml:space="preserve">Spot-pricing sensitivity — Databricks VM cost per person at 30% of PAYG</t>
  </si>
  <si>
    <t xml:space="preserve">Spot for A100 SKUs has run ~$0.68–1.15/hr vs $3.67 PAYG; eviction risk unsuitable for live labs — reference only</t>
  </si>
  <si>
    <t xml:space="preserve">Sensitivity of the per-person Databricks total to the unverified DBU/hr input</t>
  </si>
  <si>
    <t xml:space="preserve">DBU/hr assumed</t>
  </si>
  <si>
    <t xml:space="preserve">DBU cost per person ($)</t>
  </si>
  <si>
    <t xml:space="preserve">Databricks total per person ($)</t>
  </si>
  <si>
    <t xml:space="preserve">Cohort total ($)</t>
  </si>
  <si>
    <t xml:space="preserve">Item</t>
  </si>
  <si>
    <t xml:space="preserve">Status</t>
  </si>
  <si>
    <t xml:space="preserve">Source (checked 2026-09-06)</t>
  </si>
  <si>
    <t xml:space="preserve">Re-verify action</t>
  </si>
  <si>
    <t xml:space="preserve">NC24ads_A100_v4 $3.673/hr East US</t>
  </si>
  <si>
    <t xml:space="preserve">Verified (3 trackers agree)</t>
  </si>
  <si>
    <t xml:space="preserve">azurespeed.com, instances.vantage.sh, calculator.holori.com</t>
  </si>
  <si>
    <t xml:space="preserve">Azure pricing calculator, chosen region</t>
  </si>
  <si>
    <t xml:space="preserve">NC40ads_H100_v5 ≈$6.98/hr</t>
  </si>
  <si>
    <t xml:space="preserve">Approx (1 tracker)</t>
  </si>
  <si>
    <t xml:space="preserve">thundercompute.com Azure GPU guide, reviewed 1 Sep 2026</t>
  </si>
  <si>
    <t xml:space="preserve">Azure pricing calculator</t>
  </si>
  <si>
    <t xml:space="preserve">NC96ads_A100_v4 ≈$14.69/hr; NC48ads ≈$7.35</t>
  </si>
  <si>
    <t xml:space="preserve">Approx</t>
  </si>
  <si>
    <t xml:space="preserve">thundercompute.com / vantage.sh</t>
  </si>
  <si>
    <t xml:space="preserve">NC4as_T4_v3 ≈$0.526/hr</t>
  </si>
  <si>
    <t xml:space="preserve">thundercompute.com</t>
  </si>
  <si>
    <t xml:space="preserve">All-Purpose Premium DBU ≈$0.55; Jobs ≈$0.15</t>
  </si>
  <si>
    <t xml:space="preserve">Approx (several guides)</t>
  </si>
  <si>
    <t xml:space="preserve">lucentinnovation, doit.com, brilworks 2026 guides</t>
  </si>
  <si>
    <t xml:space="preserve">azure.microsoft.com/pricing/details/databricks</t>
  </si>
  <si>
    <t xml:space="preserve">DBU/hr for GPU VM types</t>
  </si>
  <si>
    <t xml:space="preserve">UNVERIFIED — placeholder</t>
  </si>
  <si>
    <t xml:space="preserve">Not published in any consulted source</t>
  </si>
  <si>
    <t xml:space="preserve">databricks.com/product/pricing/product-pricing/instance-types, or query system.billing.usage after a test run</t>
  </si>
  <si>
    <t xml:space="preserve">Overhead factor 1.6×, sharing 1, allowance $5</t>
  </si>
  <si>
    <t xml:space="preserve">Trainer assumption</t>
  </si>
  <si>
    <t xml:space="preserve">—</t>
  </si>
  <si>
    <t xml:space="preserve">Measure on cohort 1 from system.billing.usage</t>
  </si>
  <si>
    <t xml:space="preserve">Databricks GPU instance support (NC A100 v4, NC H100 v5)</t>
  </si>
  <si>
    <t xml:space="preserve">Verified</t>
  </si>
  <si>
    <t xml:space="preserve">learn.microsoft.com/azure/databricks/compute/gpu</t>
  </si>
  <si>
    <t xml:space="preserve">Same page before delivery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</si>
</sst>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0"/>
    <numFmt numFmtId="166" formatCode="0.0"/>
    <numFmt numFmtId="167" formatCode="0.00"/>
    <numFmt numFmtId="168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295C"/>
      <name val="Cambria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5A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65A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65A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9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1</v>
      </c>
      <c r="C5" s="4" t="n">
        <v>16</v>
      </c>
      <c r="D5" s="5" t="n">
        <v>0.526</v>
      </c>
      <c r="E5" s="4" t="s">
        <v>8</v>
      </c>
    </row>
    <row r="6" customFormat="false" ht="15" hidden="false" customHeight="false" outlineLevel="0" collapsed="false">
      <c r="A6" s="4" t="s">
        <v>9</v>
      </c>
      <c r="B6" s="4" t="n">
        <v>1</v>
      </c>
      <c r="C6" s="4" t="n">
        <v>80</v>
      </c>
      <c r="D6" s="5" t="n">
        <v>3.673</v>
      </c>
      <c r="E6" s="4" t="s">
        <v>10</v>
      </c>
    </row>
    <row r="7" customFormat="false" ht="15" hidden="false" customHeight="false" outlineLevel="0" collapsed="false">
      <c r="A7" s="4" t="s">
        <v>11</v>
      </c>
      <c r="B7" s="4" t="n">
        <v>2</v>
      </c>
      <c r="C7" s="4" t="n">
        <v>160</v>
      </c>
      <c r="D7" s="5" t="n">
        <v>7.35</v>
      </c>
      <c r="E7" s="4" t="s">
        <v>12</v>
      </c>
    </row>
    <row r="8" customFormat="false" ht="15" hidden="false" customHeight="false" outlineLevel="0" collapsed="false">
      <c r="A8" s="4" t="s">
        <v>13</v>
      </c>
      <c r="B8" s="4" t="n">
        <v>4</v>
      </c>
      <c r="C8" s="4" t="n">
        <v>320</v>
      </c>
      <c r="D8" s="5" t="n">
        <v>14.69</v>
      </c>
      <c r="E8" s="4" t="s">
        <v>14</v>
      </c>
    </row>
    <row r="9" customFormat="false" ht="15" hidden="false" customHeight="false" outlineLevel="0" collapsed="false">
      <c r="A9" s="4" t="s">
        <v>15</v>
      </c>
      <c r="B9" s="4" t="n">
        <v>1</v>
      </c>
      <c r="C9" s="4" t="n">
        <v>94</v>
      </c>
      <c r="D9" s="5" t="n">
        <v>6.98</v>
      </c>
      <c r="E9" s="4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  <c r="C11" s="3" t="s">
        <v>19</v>
      </c>
    </row>
    <row r="12" customFormat="false" ht="82.05" hidden="false" customHeight="false" outlineLevel="0" collapsed="false">
      <c r="A12" s="4" t="s">
        <v>20</v>
      </c>
      <c r="B12" s="6" t="n">
        <v>0.55</v>
      </c>
      <c r="C12" s="4" t="s">
        <v>21</v>
      </c>
    </row>
    <row r="13" customFormat="false" ht="41.75" hidden="false" customHeight="false" outlineLevel="0" collapsed="false">
      <c r="A13" s="4" t="s">
        <v>22</v>
      </c>
      <c r="B13" s="6" t="n">
        <v>0.15</v>
      </c>
      <c r="C13" s="4" t="s">
        <v>23</v>
      </c>
    </row>
    <row r="14" customFormat="false" ht="189.55" hidden="false" customHeight="false" outlineLevel="0" collapsed="false">
      <c r="A14" s="4" t="s">
        <v>24</v>
      </c>
      <c r="B14" s="7" t="n">
        <v>6</v>
      </c>
      <c r="C14" s="4" t="s">
        <v>25</v>
      </c>
    </row>
    <row r="15" customFormat="false" ht="108.95" hidden="false" customHeight="false" outlineLevel="0" collapsed="false">
      <c r="A15" s="4" t="s">
        <v>26</v>
      </c>
      <c r="B15" s="6" t="n">
        <v>1.6</v>
      </c>
      <c r="C15" s="4" t="s">
        <v>27</v>
      </c>
    </row>
    <row r="16" customFormat="false" ht="82.05" hidden="false" customHeight="false" outlineLevel="0" collapsed="false">
      <c r="A16" s="4" t="s">
        <v>28</v>
      </c>
      <c r="B16" s="6" t="n">
        <v>1</v>
      </c>
      <c r="C16" s="4" t="s">
        <v>29</v>
      </c>
    </row>
    <row r="17" customFormat="false" ht="28.35" hidden="false" customHeight="false" outlineLevel="0" collapsed="false">
      <c r="A17" s="4" t="s">
        <v>30</v>
      </c>
      <c r="B17" s="6" t="n">
        <v>12</v>
      </c>
      <c r="C17" s="4" t="s">
        <v>31</v>
      </c>
    </row>
    <row r="18" customFormat="false" ht="108.95" hidden="false" customHeight="false" outlineLevel="0" collapsed="false">
      <c r="A18" s="4" t="s">
        <v>32</v>
      </c>
      <c r="B18" s="6" t="n">
        <v>5</v>
      </c>
      <c r="C18" s="4" t="s">
        <v>33</v>
      </c>
    </row>
    <row r="19" customFormat="false" ht="95.5" hidden="false" customHeight="false" outlineLevel="0" collapsed="false">
      <c r="A19" s="4" t="s">
        <v>34</v>
      </c>
      <c r="B19" s="6" t="n">
        <v>1</v>
      </c>
      <c r="C1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2" min="11" style="0" width="1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55.2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2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</row>
    <row r="5" customFormat="false" ht="15" hidden="false" customHeight="false" outlineLevel="0" collapsed="false">
      <c r="A5" s="4" t="s">
        <v>49</v>
      </c>
      <c r="B5" s="4" t="s">
        <v>50</v>
      </c>
      <c r="C5" s="4" t="s">
        <v>51</v>
      </c>
      <c r="D5" s="4" t="s">
        <v>9</v>
      </c>
      <c r="E5" s="8" t="n">
        <v>1.5</v>
      </c>
      <c r="F5" s="9" t="n">
        <v>0.75</v>
      </c>
      <c r="G5" s="10" t="n">
        <f aca="false">INDEX(Inputs!$D$5:$D$9,MATCH(D5,Inputs!$A$5:$A$9,0))</f>
        <v>3.673</v>
      </c>
      <c r="H5" s="11" t="n">
        <f aca="false">F5*Inputs!$B$15</f>
        <v>1.2</v>
      </c>
      <c r="I5" s="12" t="n">
        <f aca="false">H5*G5/Inputs!$B$16</f>
        <v>4.4076</v>
      </c>
      <c r="J5" s="12" t="n">
        <f aca="false">H5*Inputs!$B$14*Inputs!$B$12/Inputs!$B$16</f>
        <v>3.96</v>
      </c>
      <c r="K5" s="12" t="n">
        <f aca="false">I5+J5</f>
        <v>8.3676</v>
      </c>
      <c r="L5" s="12" t="n">
        <f aca="false">I5*Inputs!$B$19</f>
        <v>4.4076</v>
      </c>
    </row>
    <row r="6" customFormat="false" ht="15" hidden="false" customHeight="false" outlineLevel="0" collapsed="false">
      <c r="A6" s="4" t="s">
        <v>52</v>
      </c>
      <c r="B6" s="4" t="s">
        <v>53</v>
      </c>
      <c r="C6" s="4" t="s">
        <v>54</v>
      </c>
      <c r="D6" s="4" t="s">
        <v>9</v>
      </c>
      <c r="E6" s="8" t="n">
        <v>2</v>
      </c>
      <c r="F6" s="9" t="n">
        <v>1.25</v>
      </c>
      <c r="G6" s="10" t="n">
        <f aca="false">INDEX(Inputs!$D$5:$D$9,MATCH(D6,Inputs!$A$5:$A$9,0))</f>
        <v>3.673</v>
      </c>
      <c r="H6" s="11" t="n">
        <f aca="false">F6*Inputs!$B$15</f>
        <v>2</v>
      </c>
      <c r="I6" s="12" t="n">
        <f aca="false">H6*G6/Inputs!$B$16</f>
        <v>7.346</v>
      </c>
      <c r="J6" s="12" t="n">
        <f aca="false">H6*Inputs!$B$14*Inputs!$B$12/Inputs!$B$16</f>
        <v>6.6</v>
      </c>
      <c r="K6" s="12" t="n">
        <f aca="false">I6+J6</f>
        <v>13.946</v>
      </c>
      <c r="L6" s="12" t="n">
        <f aca="false">I6*Inputs!$B$19</f>
        <v>7.346</v>
      </c>
    </row>
    <row r="7" customFormat="false" ht="15" hidden="false" customHeight="false" outlineLevel="0" collapsed="false">
      <c r="A7" s="4" t="s">
        <v>55</v>
      </c>
      <c r="B7" s="4" t="s">
        <v>56</v>
      </c>
      <c r="C7" s="4" t="s">
        <v>51</v>
      </c>
      <c r="D7" s="4" t="s">
        <v>9</v>
      </c>
      <c r="E7" s="8" t="n">
        <v>2.5</v>
      </c>
      <c r="F7" s="9" t="n">
        <v>2</v>
      </c>
      <c r="G7" s="10" t="n">
        <f aca="false">INDEX(Inputs!$D$5:$D$9,MATCH(D7,Inputs!$A$5:$A$9,0))</f>
        <v>3.673</v>
      </c>
      <c r="H7" s="11" t="n">
        <f aca="false">F7*Inputs!$B$15</f>
        <v>3.2</v>
      </c>
      <c r="I7" s="12" t="n">
        <f aca="false">H7*G7/Inputs!$B$16</f>
        <v>11.7536</v>
      </c>
      <c r="J7" s="12" t="n">
        <f aca="false">H7*Inputs!$B$14*Inputs!$B$12/Inputs!$B$16</f>
        <v>10.56</v>
      </c>
      <c r="K7" s="12" t="n">
        <f aca="false">I7+J7</f>
        <v>22.3136</v>
      </c>
      <c r="L7" s="12" t="n">
        <f aca="false">I7*Inputs!$B$19</f>
        <v>11.7536</v>
      </c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54</v>
      </c>
      <c r="D8" s="4" t="s">
        <v>7</v>
      </c>
      <c r="E8" s="8" t="n">
        <v>2</v>
      </c>
      <c r="F8" s="9" t="n">
        <v>1</v>
      </c>
      <c r="G8" s="10" t="n">
        <f aca="false">INDEX(Inputs!$D$5:$D$9,MATCH(D8,Inputs!$A$5:$A$9,0))</f>
        <v>0.526</v>
      </c>
      <c r="H8" s="11" t="n">
        <f aca="false">F8*Inputs!$B$15</f>
        <v>1.6</v>
      </c>
      <c r="I8" s="12" t="n">
        <f aca="false">H8*G8/Inputs!$B$16</f>
        <v>0.8416</v>
      </c>
      <c r="J8" s="12" t="n">
        <f aca="false">H8*Inputs!$B$14*Inputs!$B$12/Inputs!$B$16</f>
        <v>5.28</v>
      </c>
      <c r="K8" s="12" t="n">
        <f aca="false">I8+J8</f>
        <v>6.1216</v>
      </c>
      <c r="L8" s="12" t="n">
        <f aca="false">I8*Inputs!$B$19</f>
        <v>0.8416</v>
      </c>
    </row>
    <row r="9" customFormat="false" ht="15" hidden="false" customHeight="false" outlineLevel="0" collapsed="false">
      <c r="A9" s="4" t="s">
        <v>59</v>
      </c>
      <c r="B9" s="4" t="s">
        <v>60</v>
      </c>
      <c r="C9" s="4" t="s">
        <v>54</v>
      </c>
      <c r="D9" s="4" t="s">
        <v>9</v>
      </c>
      <c r="E9" s="8" t="n">
        <v>2.5</v>
      </c>
      <c r="F9" s="9" t="n">
        <v>1.5</v>
      </c>
      <c r="G9" s="10" t="n">
        <f aca="false">INDEX(Inputs!$D$5:$D$9,MATCH(D9,Inputs!$A$5:$A$9,0))</f>
        <v>3.673</v>
      </c>
      <c r="H9" s="11" t="n">
        <f aca="false">F9*Inputs!$B$15</f>
        <v>2.4</v>
      </c>
      <c r="I9" s="12" t="n">
        <f aca="false">H9*G9/Inputs!$B$16</f>
        <v>8.8152</v>
      </c>
      <c r="J9" s="12" t="n">
        <f aca="false">H9*Inputs!$B$14*Inputs!$B$12/Inputs!$B$16</f>
        <v>7.92</v>
      </c>
      <c r="K9" s="12" t="n">
        <f aca="false">I9+J9</f>
        <v>16.7352</v>
      </c>
      <c r="L9" s="12" t="n">
        <f aca="false">I9*Inputs!$B$19</f>
        <v>8.8152</v>
      </c>
    </row>
    <row r="10" customFormat="false" ht="15" hidden="false" customHeight="false" outlineLevel="0" collapsed="false">
      <c r="A10" s="4" t="s">
        <v>61</v>
      </c>
      <c r="B10" s="4" t="s">
        <v>62</v>
      </c>
      <c r="C10" s="4" t="s">
        <v>54</v>
      </c>
      <c r="D10" s="4" t="s">
        <v>9</v>
      </c>
      <c r="E10" s="8" t="n">
        <v>2</v>
      </c>
      <c r="F10" s="9" t="n">
        <v>1.5</v>
      </c>
      <c r="G10" s="10" t="n">
        <f aca="false">INDEX(Inputs!$D$5:$D$9,MATCH(D10,Inputs!$A$5:$A$9,0))</f>
        <v>3.673</v>
      </c>
      <c r="H10" s="11" t="n">
        <f aca="false">F10*Inputs!$B$15</f>
        <v>2.4</v>
      </c>
      <c r="I10" s="12" t="n">
        <f aca="false">H10*G10/Inputs!$B$16</f>
        <v>8.8152</v>
      </c>
      <c r="J10" s="12" t="n">
        <f aca="false">H10*Inputs!$B$14*Inputs!$B$12/Inputs!$B$16</f>
        <v>7.92</v>
      </c>
      <c r="K10" s="12" t="n">
        <f aca="false">I10+J10</f>
        <v>16.7352</v>
      </c>
      <c r="L10" s="12" t="n">
        <f aca="false">I10*Inputs!$B$19</f>
        <v>8.8152</v>
      </c>
    </row>
    <row r="11" customFormat="false" ht="28.35" hidden="false" customHeight="false" outlineLevel="0" collapsed="false">
      <c r="A11" s="4" t="s">
        <v>63</v>
      </c>
      <c r="B11" s="4" t="s">
        <v>64</v>
      </c>
      <c r="C11" s="4" t="s">
        <v>54</v>
      </c>
      <c r="D11" s="4" t="s">
        <v>9</v>
      </c>
      <c r="E11" s="8" t="n">
        <v>3</v>
      </c>
      <c r="F11" s="9" t="n">
        <v>2.5</v>
      </c>
      <c r="G11" s="10" t="n">
        <f aca="false">INDEX(Inputs!$D$5:$D$9,MATCH(D11,Inputs!$A$5:$A$9,0))</f>
        <v>3.673</v>
      </c>
      <c r="H11" s="11" t="n">
        <f aca="false">F11*Inputs!$B$15</f>
        <v>4</v>
      </c>
      <c r="I11" s="12" t="n">
        <f aca="false">H11*G11/Inputs!$B$16</f>
        <v>14.692</v>
      </c>
      <c r="J11" s="12" t="n">
        <f aca="false">H11*Inputs!$B$14*Inputs!$B$12/Inputs!$B$16</f>
        <v>13.2</v>
      </c>
      <c r="K11" s="12" t="n">
        <f aca="false">I11+J11</f>
        <v>27.892</v>
      </c>
      <c r="L11" s="12" t="n">
        <f aca="false">I11*Inputs!$B$19</f>
        <v>14.692</v>
      </c>
    </row>
    <row r="12" customFormat="false" ht="28.35" hidden="false" customHeight="false" outlineLevel="0" collapsed="false">
      <c r="A12" s="4" t="s">
        <v>65</v>
      </c>
      <c r="B12" s="4" t="s">
        <v>66</v>
      </c>
      <c r="C12" s="4" t="s">
        <v>54</v>
      </c>
      <c r="D12" s="4" t="s">
        <v>7</v>
      </c>
      <c r="E12" s="8" t="n">
        <v>3</v>
      </c>
      <c r="F12" s="9" t="n">
        <v>1.5</v>
      </c>
      <c r="G12" s="10" t="n">
        <f aca="false">INDEX(Inputs!$D$5:$D$9,MATCH(D12,Inputs!$A$5:$A$9,0))</f>
        <v>0.526</v>
      </c>
      <c r="H12" s="11" t="n">
        <f aca="false">F12*Inputs!$B$15</f>
        <v>2.4</v>
      </c>
      <c r="I12" s="12" t="n">
        <f aca="false">H12*G12/Inputs!$B$16</f>
        <v>1.2624</v>
      </c>
      <c r="J12" s="12" t="n">
        <f aca="false">H12*Inputs!$B$14*Inputs!$B$12/Inputs!$B$16</f>
        <v>7.92</v>
      </c>
      <c r="K12" s="12" t="n">
        <f aca="false">I12+J12</f>
        <v>9.1824</v>
      </c>
      <c r="L12" s="12" t="n">
        <f aca="false">I12*Inputs!$B$19</f>
        <v>1.2624</v>
      </c>
    </row>
    <row r="13" customFormat="false" ht="28.35" hidden="false" customHeight="false" outlineLevel="0" collapsed="false">
      <c r="A13" s="4" t="s">
        <v>67</v>
      </c>
      <c r="B13" s="4" t="s">
        <v>68</v>
      </c>
      <c r="C13" s="4" t="s">
        <v>69</v>
      </c>
      <c r="D13" s="4" t="s">
        <v>7</v>
      </c>
      <c r="E13" s="8" t="n">
        <v>2</v>
      </c>
      <c r="F13" s="9" t="n">
        <v>0.5</v>
      </c>
      <c r="G13" s="10" t="n">
        <f aca="false">INDEX(Inputs!$D$5:$D$9,MATCH(D13,Inputs!$A$5:$A$9,0))</f>
        <v>0.526</v>
      </c>
      <c r="H13" s="11" t="n">
        <f aca="false">F13*Inputs!$B$15</f>
        <v>0.8</v>
      </c>
      <c r="I13" s="12" t="n">
        <f aca="false">H13*G13/Inputs!$B$16</f>
        <v>0.4208</v>
      </c>
      <c r="J13" s="12" t="n">
        <f aca="false">H13*Inputs!$B$14*Inputs!$B$12/Inputs!$B$16</f>
        <v>2.64</v>
      </c>
      <c r="K13" s="12" t="n">
        <f aca="false">I13+J13</f>
        <v>3.0608</v>
      </c>
      <c r="L13" s="12" t="n">
        <f aca="false">I13*Inputs!$B$19</f>
        <v>0.4208</v>
      </c>
    </row>
    <row r="14" customFormat="false" ht="15" hidden="false" customHeight="false" outlineLevel="0" collapsed="false">
      <c r="A14" s="4" t="s">
        <v>70</v>
      </c>
      <c r="B14" s="4" t="s">
        <v>71</v>
      </c>
      <c r="C14" s="4" t="s">
        <v>51</v>
      </c>
      <c r="D14" s="4" t="s">
        <v>7</v>
      </c>
      <c r="E14" s="8" t="n">
        <v>2</v>
      </c>
      <c r="F14" s="9" t="n">
        <v>0.5</v>
      </c>
      <c r="G14" s="10" t="n">
        <f aca="false">INDEX(Inputs!$D$5:$D$9,MATCH(D14,Inputs!$A$5:$A$9,0))</f>
        <v>0.526</v>
      </c>
      <c r="H14" s="11" t="n">
        <f aca="false">F14*Inputs!$B$15</f>
        <v>0.8</v>
      </c>
      <c r="I14" s="12" t="n">
        <f aca="false">H14*G14/Inputs!$B$16</f>
        <v>0.4208</v>
      </c>
      <c r="J14" s="12" t="n">
        <f aca="false">H14*Inputs!$B$14*Inputs!$B$12/Inputs!$B$16</f>
        <v>2.64</v>
      </c>
      <c r="K14" s="12" t="n">
        <f aca="false">I14+J14</f>
        <v>3.0608</v>
      </c>
      <c r="L14" s="12" t="n">
        <f aca="false">I14*Inputs!$B$19</f>
        <v>0.4208</v>
      </c>
    </row>
    <row r="15" customFormat="false" ht="15" hidden="false" customHeight="false" outlineLevel="0" collapsed="false">
      <c r="A15" s="4" t="s">
        <v>72</v>
      </c>
      <c r="B15" s="4" t="s">
        <v>73</v>
      </c>
      <c r="C15" s="4" t="s">
        <v>54</v>
      </c>
      <c r="D15" s="4" t="s">
        <v>13</v>
      </c>
      <c r="E15" s="8" t="n">
        <v>2.5</v>
      </c>
      <c r="F15" s="9" t="n">
        <v>1.5</v>
      </c>
      <c r="G15" s="10" t="n">
        <f aca="false">INDEX(Inputs!$D$5:$D$9,MATCH(D15,Inputs!$A$5:$A$9,0))</f>
        <v>14.69</v>
      </c>
      <c r="H15" s="11" t="n">
        <f aca="false">F15*Inputs!$B$15</f>
        <v>2.4</v>
      </c>
      <c r="I15" s="12" t="n">
        <f aca="false">H15*G15/Inputs!$B$16</f>
        <v>35.256</v>
      </c>
      <c r="J15" s="12" t="n">
        <f aca="false">H15*Inputs!$B$14*Inputs!$B$12/Inputs!$B$16</f>
        <v>7.92</v>
      </c>
      <c r="K15" s="12" t="n">
        <f aca="false">I15+J15</f>
        <v>43.176</v>
      </c>
      <c r="L15" s="12" t="n">
        <f aca="false">I15*Inputs!$B$19</f>
        <v>35.256</v>
      </c>
    </row>
    <row r="16" customFormat="false" ht="15" hidden="false" customHeight="false" outlineLevel="0" collapsed="false">
      <c r="A16" s="4" t="s">
        <v>74</v>
      </c>
      <c r="B16" s="4" t="s">
        <v>75</v>
      </c>
      <c r="C16" s="4" t="s">
        <v>54</v>
      </c>
      <c r="D16" s="4" t="s">
        <v>7</v>
      </c>
      <c r="E16" s="8" t="n">
        <v>1.5</v>
      </c>
      <c r="F16" s="9" t="n">
        <v>0</v>
      </c>
      <c r="G16" s="10" t="n">
        <f aca="false">INDEX(Inputs!$D$5:$D$9,MATCH(D16,Inputs!$A$5:$A$9,0))</f>
        <v>0.526</v>
      </c>
      <c r="H16" s="11" t="n">
        <f aca="false">F16*Inputs!$B$15</f>
        <v>0</v>
      </c>
      <c r="I16" s="12" t="n">
        <f aca="false">H16*G16/Inputs!$B$16</f>
        <v>0</v>
      </c>
      <c r="J16" s="12" t="n">
        <f aca="false">H16*Inputs!$B$14*Inputs!$B$12/Inputs!$B$16</f>
        <v>0</v>
      </c>
      <c r="K16" s="12" t="n">
        <f aca="false">I16+J16</f>
        <v>0</v>
      </c>
      <c r="L16" s="12" t="n">
        <f aca="false">I16*Inputs!$B$19</f>
        <v>0</v>
      </c>
    </row>
    <row r="17" customFormat="false" ht="28.35" hidden="false" customHeight="false" outlineLevel="0" collapsed="false">
      <c r="A17" s="4" t="s">
        <v>76</v>
      </c>
      <c r="B17" s="4" t="s">
        <v>77</v>
      </c>
      <c r="C17" s="4" t="s">
        <v>54</v>
      </c>
      <c r="D17" s="4" t="s">
        <v>7</v>
      </c>
      <c r="E17" s="8" t="n">
        <v>2</v>
      </c>
      <c r="F17" s="9" t="n">
        <v>0</v>
      </c>
      <c r="G17" s="10" t="n">
        <f aca="false">INDEX(Inputs!$D$5:$D$9,MATCH(D17,Inputs!$A$5:$A$9,0))</f>
        <v>0.526</v>
      </c>
      <c r="H17" s="11" t="n">
        <f aca="false">F17*Inputs!$B$15</f>
        <v>0</v>
      </c>
      <c r="I17" s="12" t="n">
        <f aca="false">H17*G17/Inputs!$B$16</f>
        <v>0</v>
      </c>
      <c r="J17" s="12" t="n">
        <f aca="false">H17*Inputs!$B$14*Inputs!$B$12/Inputs!$B$16</f>
        <v>0</v>
      </c>
      <c r="K17" s="12" t="n">
        <f aca="false">I17+J17</f>
        <v>0</v>
      </c>
      <c r="L17" s="12" t="n">
        <f aca="false">I17*Inputs!$B$19</f>
        <v>0</v>
      </c>
    </row>
    <row r="18" customFormat="false" ht="28.35" hidden="false" customHeight="false" outlineLevel="0" collapsed="false">
      <c r="A18" s="4" t="s">
        <v>78</v>
      </c>
      <c r="B18" s="4" t="s">
        <v>79</v>
      </c>
      <c r="C18" s="4" t="s">
        <v>51</v>
      </c>
      <c r="D18" s="4" t="s">
        <v>7</v>
      </c>
      <c r="E18" s="8" t="n">
        <v>2</v>
      </c>
      <c r="F18" s="9" t="n">
        <v>0</v>
      </c>
      <c r="G18" s="10" t="n">
        <f aca="false">INDEX(Inputs!$D$5:$D$9,MATCH(D18,Inputs!$A$5:$A$9,0))</f>
        <v>0.526</v>
      </c>
      <c r="H18" s="11" t="n">
        <f aca="false">F18*Inputs!$B$15</f>
        <v>0</v>
      </c>
      <c r="I18" s="12" t="n">
        <f aca="false">H18*G18/Inputs!$B$16</f>
        <v>0</v>
      </c>
      <c r="J18" s="12" t="n">
        <f aca="false">H18*Inputs!$B$14*Inputs!$B$12/Inputs!$B$16</f>
        <v>0</v>
      </c>
      <c r="K18" s="12" t="n">
        <f aca="false">I18+J18</f>
        <v>0</v>
      </c>
      <c r="L18" s="12" t="n">
        <f aca="false">I18*Inputs!$B$19</f>
        <v>0</v>
      </c>
    </row>
    <row r="19" customFormat="false" ht="28.35" hidden="false" customHeight="false" outlineLevel="0" collapsed="false">
      <c r="A19" s="4" t="s">
        <v>80</v>
      </c>
      <c r="B19" s="4" t="s">
        <v>81</v>
      </c>
      <c r="C19" s="4" t="s">
        <v>51</v>
      </c>
      <c r="D19" s="4" t="s">
        <v>7</v>
      </c>
      <c r="E19" s="8" t="n">
        <v>2.5</v>
      </c>
      <c r="F19" s="9" t="n">
        <v>0.5</v>
      </c>
      <c r="G19" s="10" t="n">
        <f aca="false">INDEX(Inputs!$D$5:$D$9,MATCH(D19,Inputs!$A$5:$A$9,0))</f>
        <v>0.526</v>
      </c>
      <c r="H19" s="11" t="n">
        <f aca="false">F19*Inputs!$B$15</f>
        <v>0.8</v>
      </c>
      <c r="I19" s="12" t="n">
        <f aca="false">H19*G19/Inputs!$B$16</f>
        <v>0.4208</v>
      </c>
      <c r="J19" s="12" t="n">
        <f aca="false">H19*Inputs!$B$14*Inputs!$B$12/Inputs!$B$16</f>
        <v>2.64</v>
      </c>
      <c r="K19" s="12" t="n">
        <f aca="false">I19+J19</f>
        <v>3.0608</v>
      </c>
      <c r="L19" s="12" t="n">
        <f aca="false">I19*Inputs!$B$19</f>
        <v>0.4208</v>
      </c>
    </row>
    <row r="20" customFormat="false" ht="15" hidden="false" customHeight="false" outlineLevel="0" collapsed="false">
      <c r="A20" s="4" t="s">
        <v>82</v>
      </c>
      <c r="B20" s="4" t="s">
        <v>83</v>
      </c>
      <c r="C20" s="4" t="s">
        <v>51</v>
      </c>
      <c r="D20" s="4" t="s">
        <v>7</v>
      </c>
      <c r="E20" s="8" t="n">
        <v>2</v>
      </c>
      <c r="F20" s="9" t="n">
        <v>0</v>
      </c>
      <c r="G20" s="10" t="n">
        <f aca="false">INDEX(Inputs!$D$5:$D$9,MATCH(D20,Inputs!$A$5:$A$9,0))</f>
        <v>0.526</v>
      </c>
      <c r="H20" s="11" t="n">
        <f aca="false">F20*Inputs!$B$15</f>
        <v>0</v>
      </c>
      <c r="I20" s="12" t="n">
        <f aca="false">H20*G20/Inputs!$B$16</f>
        <v>0</v>
      </c>
      <c r="J20" s="12" t="n">
        <f aca="false">H20*Inputs!$B$14*Inputs!$B$12/Inputs!$B$16</f>
        <v>0</v>
      </c>
      <c r="K20" s="12" t="n">
        <f aca="false">I20+J20</f>
        <v>0</v>
      </c>
      <c r="L20" s="12" t="n">
        <f aca="false">I20*Inputs!$B$19</f>
        <v>0</v>
      </c>
    </row>
    <row r="21" customFormat="false" ht="15" hidden="false" customHeight="false" outlineLevel="0" collapsed="false">
      <c r="A21" s="4" t="s">
        <v>84</v>
      </c>
      <c r="B21" s="4" t="s">
        <v>85</v>
      </c>
      <c r="C21" s="4" t="s">
        <v>51</v>
      </c>
      <c r="D21" s="4" t="s">
        <v>7</v>
      </c>
      <c r="E21" s="8" t="n">
        <v>1.5</v>
      </c>
      <c r="F21" s="9" t="n">
        <v>0</v>
      </c>
      <c r="G21" s="10" t="n">
        <f aca="false">INDEX(Inputs!$D$5:$D$9,MATCH(D21,Inputs!$A$5:$A$9,0))</f>
        <v>0.526</v>
      </c>
      <c r="H21" s="11" t="n">
        <f aca="false">F21*Inputs!$B$15</f>
        <v>0</v>
      </c>
      <c r="I21" s="12" t="n">
        <f aca="false">H21*G21/Inputs!$B$16</f>
        <v>0</v>
      </c>
      <c r="J21" s="12" t="n">
        <f aca="false">H21*Inputs!$B$14*Inputs!$B$12/Inputs!$B$16</f>
        <v>0</v>
      </c>
      <c r="K21" s="12" t="n">
        <f aca="false">I21+J21</f>
        <v>0</v>
      </c>
      <c r="L21" s="12" t="n">
        <f aca="false">I21*Inputs!$B$19</f>
        <v>0</v>
      </c>
    </row>
    <row r="22" customFormat="false" ht="15" hidden="false" customHeight="false" outlineLevel="0" collapsed="false">
      <c r="A22" s="13" t="s">
        <v>86</v>
      </c>
      <c r="E22" s="14" t="n">
        <f aca="false">SUM(E5:E21)</f>
        <v>36.5</v>
      </c>
      <c r="F22" s="14" t="n">
        <f aca="false">SUM(F5:F21)</f>
        <v>15</v>
      </c>
      <c r="H22" s="14" t="n">
        <f aca="false">SUM(H5:H21)</f>
        <v>24</v>
      </c>
      <c r="I22" s="15" t="n">
        <f aca="false">SUM(I5:I21)</f>
        <v>94.452</v>
      </c>
      <c r="J22" s="15" t="n">
        <f aca="false">SUM(J5:J21)</f>
        <v>79.2</v>
      </c>
      <c r="K22" s="15" t="n">
        <f aca="false">SUM(K5:K21)</f>
        <v>173.652</v>
      </c>
      <c r="L22" s="15" t="n">
        <f aca="false">SUM(L5:L21)</f>
        <v>94.452</v>
      </c>
    </row>
  </sheetData>
  <autoFilter ref="A4:L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3" t="s">
        <v>88</v>
      </c>
      <c r="B3" s="3" t="s">
        <v>18</v>
      </c>
      <c r="C3" s="3" t="s">
        <v>89</v>
      </c>
    </row>
    <row r="4" customFormat="false" ht="15" hidden="false" customHeight="false" outlineLevel="0" collapsed="false">
      <c r="A4" s="4" t="s">
        <v>90</v>
      </c>
      <c r="B4" s="16" t="n">
        <f aca="false">'Lab Costs'!E22</f>
        <v>36.5</v>
      </c>
      <c r="C4" s="4" t="s">
        <v>91</v>
      </c>
    </row>
    <row r="5" customFormat="false" ht="15" hidden="false" customHeight="false" outlineLevel="0" collapsed="false">
      <c r="A5" s="4" t="s">
        <v>92</v>
      </c>
      <c r="B5" s="17" t="n">
        <f aca="false">'Lab Costs'!F22</f>
        <v>15</v>
      </c>
      <c r="C5" s="4" t="s">
        <v>93</v>
      </c>
    </row>
    <row r="6" customFormat="false" ht="15" hidden="false" customHeight="false" outlineLevel="0" collapsed="false">
      <c r="A6" s="4" t="s">
        <v>94</v>
      </c>
      <c r="B6" s="17" t="n">
        <f aca="false">'Lab Costs'!H22</f>
        <v>24</v>
      </c>
      <c r="C6" s="4" t="s">
        <v>95</v>
      </c>
    </row>
    <row r="7" customFormat="false" ht="15" hidden="false" customHeight="false" outlineLevel="0" collapsed="false">
      <c r="A7" s="4" t="s">
        <v>96</v>
      </c>
      <c r="B7" s="18" t="n">
        <f aca="false">'Lab Costs'!I22</f>
        <v>94.452</v>
      </c>
      <c r="C7" s="4" t="s">
        <v>97</v>
      </c>
    </row>
    <row r="8" customFormat="false" ht="15" hidden="false" customHeight="false" outlineLevel="0" collapsed="false">
      <c r="A8" s="4" t="s">
        <v>98</v>
      </c>
      <c r="B8" s="18" t="n">
        <f aca="false">'Lab Costs'!J22</f>
        <v>79.2</v>
      </c>
      <c r="C8" s="4" t="s">
        <v>99</v>
      </c>
    </row>
    <row r="9" customFormat="false" ht="15" hidden="false" customHeight="false" outlineLevel="0" collapsed="false">
      <c r="A9" s="4" t="s">
        <v>100</v>
      </c>
      <c r="B9" s="18" t="n">
        <f aca="false">Inputs!$B$18</f>
        <v>5</v>
      </c>
      <c r="C9" s="4" t="s">
        <v>101</v>
      </c>
    </row>
    <row r="10" customFormat="false" ht="15" hidden="false" customHeight="false" outlineLevel="0" collapsed="false">
      <c r="A10" s="13" t="s">
        <v>102</v>
      </c>
      <c r="B10" s="19" t="n">
        <f aca="false">B7+B8+B9</f>
        <v>178.652</v>
      </c>
      <c r="C10" s="4" t="s">
        <v>103</v>
      </c>
    </row>
    <row r="11" customFormat="false" ht="15" hidden="false" customHeight="false" outlineLevel="0" collapsed="false">
      <c r="A11" s="13" t="s">
        <v>104</v>
      </c>
      <c r="B11" s="19" t="n">
        <f aca="false">'Lab Costs'!L22+Inputs!$B$18</f>
        <v>99.452</v>
      </c>
      <c r="C11" s="4" t="s">
        <v>105</v>
      </c>
    </row>
    <row r="12" customFormat="false" ht="15" hidden="false" customHeight="false" outlineLevel="0" collapsed="false">
      <c r="A12" s="4" t="s">
        <v>106</v>
      </c>
      <c r="B12" s="18" t="n">
        <f aca="false">B10*Inputs!$B$17</f>
        <v>2143.824</v>
      </c>
      <c r="C12" s="4" t="s">
        <v>107</v>
      </c>
    </row>
    <row r="13" customFormat="false" ht="15" hidden="false" customHeight="false" outlineLevel="0" collapsed="false">
      <c r="A13" s="4" t="s">
        <v>108</v>
      </c>
      <c r="B13" s="18" t="n">
        <f aca="false">B11*Inputs!$B$17</f>
        <v>1193.424</v>
      </c>
      <c r="C13" s="4" t="s">
        <v>107</v>
      </c>
    </row>
    <row r="14" customFormat="false" ht="28.35" hidden="false" customHeight="false" outlineLevel="0" collapsed="false">
      <c r="A14" s="4" t="s">
        <v>109</v>
      </c>
      <c r="B14" s="18" t="n">
        <f aca="false">B7*0.3</f>
        <v>28.3356</v>
      </c>
      <c r="C14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111</v>
      </c>
    </row>
    <row r="3" customFormat="false" ht="28.35" hidden="false" customHeight="false" outlineLevel="0" collapsed="false">
      <c r="A3" s="3" t="s">
        <v>112</v>
      </c>
      <c r="B3" s="3" t="s">
        <v>113</v>
      </c>
      <c r="C3" s="3" t="s">
        <v>114</v>
      </c>
      <c r="D3" s="3" t="s">
        <v>115</v>
      </c>
    </row>
    <row r="4" customFormat="false" ht="15" hidden="false" customHeight="false" outlineLevel="0" collapsed="false">
      <c r="A4" s="8" t="n">
        <v>0</v>
      </c>
      <c r="B4" s="12" t="n">
        <f aca="false">'Lab Costs'!H22*A4*Inputs!$B$12/Inputs!$B$16</f>
        <v>0</v>
      </c>
      <c r="C4" s="12" t="n">
        <f aca="false">'Lab Costs'!I22+B4+Inputs!$B$18</f>
        <v>99.452</v>
      </c>
      <c r="D4" s="12" t="n">
        <f aca="false">C4*Inputs!$B$17</f>
        <v>1193.424</v>
      </c>
    </row>
    <row r="5" customFormat="false" ht="15" hidden="false" customHeight="false" outlineLevel="0" collapsed="false">
      <c r="A5" s="8" t="n">
        <v>2</v>
      </c>
      <c r="B5" s="12" t="n">
        <f aca="false">'Lab Costs'!H22*A5*Inputs!$B$12/Inputs!$B$16</f>
        <v>26.4</v>
      </c>
      <c r="C5" s="12" t="n">
        <f aca="false">'Lab Costs'!I22+B5+Inputs!$B$18</f>
        <v>125.852</v>
      </c>
      <c r="D5" s="12" t="n">
        <f aca="false">C5*Inputs!$B$17</f>
        <v>1510.224</v>
      </c>
    </row>
    <row r="6" customFormat="false" ht="15" hidden="false" customHeight="false" outlineLevel="0" collapsed="false">
      <c r="A6" s="8" t="n">
        <v>4</v>
      </c>
      <c r="B6" s="12" t="n">
        <f aca="false">'Lab Costs'!H22*A6*Inputs!$B$12/Inputs!$B$16</f>
        <v>52.8</v>
      </c>
      <c r="C6" s="12" t="n">
        <f aca="false">'Lab Costs'!I22+B6+Inputs!$B$18</f>
        <v>152.252</v>
      </c>
      <c r="D6" s="12" t="n">
        <f aca="false">C6*Inputs!$B$17</f>
        <v>1827.024</v>
      </c>
    </row>
    <row r="7" customFormat="false" ht="15" hidden="false" customHeight="false" outlineLevel="0" collapsed="false">
      <c r="A7" s="8" t="n">
        <v>6</v>
      </c>
      <c r="B7" s="12" t="n">
        <f aca="false">'Lab Costs'!H22*A7*Inputs!$B$12/Inputs!$B$16</f>
        <v>79.2</v>
      </c>
      <c r="C7" s="12" t="n">
        <f aca="false">'Lab Costs'!I22+B7+Inputs!$B$18</f>
        <v>178.652</v>
      </c>
      <c r="D7" s="12" t="n">
        <f aca="false">C7*Inputs!$B$17</f>
        <v>2143.824</v>
      </c>
    </row>
    <row r="8" customFormat="false" ht="15" hidden="false" customHeight="false" outlineLevel="0" collapsed="false">
      <c r="A8" s="8" t="n">
        <v>8</v>
      </c>
      <c r="B8" s="12" t="n">
        <f aca="false">'Lab Costs'!H22*A8*Inputs!$B$12/Inputs!$B$16</f>
        <v>105.6</v>
      </c>
      <c r="C8" s="12" t="n">
        <f aca="false">'Lab Costs'!I22+B8+Inputs!$B$18</f>
        <v>205.052</v>
      </c>
      <c r="D8" s="12" t="n">
        <f aca="false">C8*Inputs!$B$17</f>
        <v>2460.624</v>
      </c>
    </row>
    <row r="9" customFormat="false" ht="15" hidden="false" customHeight="false" outlineLevel="0" collapsed="false">
      <c r="A9" s="8" t="n">
        <v>10</v>
      </c>
      <c r="B9" s="12" t="n">
        <f aca="false">'Lab Costs'!H22*A9*Inputs!$B$12/Inputs!$B$16</f>
        <v>132</v>
      </c>
      <c r="C9" s="12" t="n">
        <f aca="false">'Lab Costs'!I22+B9+Inputs!$B$18</f>
        <v>231.452</v>
      </c>
      <c r="D9" s="12" t="n">
        <f aca="false">C9*Inputs!$B$17</f>
        <v>2777.424</v>
      </c>
    </row>
    <row r="10" customFormat="false" ht="15" hidden="false" customHeight="false" outlineLevel="0" collapsed="false">
      <c r="A10" s="8" t="n">
        <v>12</v>
      </c>
      <c r="B10" s="12" t="n">
        <f aca="false">'Lab Costs'!H22*A10*Inputs!$B$12/Inputs!$B$16</f>
        <v>158.4</v>
      </c>
      <c r="C10" s="12" t="n">
        <f aca="false">'Lab Costs'!I22+B10+Inputs!$B$18</f>
        <v>257.852</v>
      </c>
      <c r="D10" s="12" t="n">
        <f aca="false">C10*Inputs!$B$17</f>
        <v>3094.224</v>
      </c>
    </row>
    <row r="11" customFormat="false" ht="15" hidden="false" customHeight="false" outlineLevel="0" collapsed="false">
      <c r="A11" s="8" t="n">
        <v>15</v>
      </c>
      <c r="B11" s="12" t="n">
        <f aca="false">'Lab Costs'!H22*A11*Inputs!$B$12/Inputs!$B$16</f>
        <v>198</v>
      </c>
      <c r="C11" s="12" t="n">
        <f aca="false">'Lab Costs'!I22+B11+Inputs!$B$18</f>
        <v>297.452</v>
      </c>
      <c r="D11" s="12" t="n">
        <f aca="false">C11*Inputs!$B$17</f>
        <v>3569.424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</row>
    <row r="2" customFormat="false" ht="15" hidden="false" customHeight="false" outlineLevel="0" collapsed="false">
      <c r="A2" s="4" t="s">
        <v>120</v>
      </c>
      <c r="B2" s="4" t="s">
        <v>121</v>
      </c>
      <c r="C2" s="4" t="s">
        <v>122</v>
      </c>
      <c r="D2" s="4" t="s">
        <v>123</v>
      </c>
    </row>
    <row r="3" customFormat="false" ht="15" hidden="false" customHeight="false" outlineLevel="0" collapsed="false">
      <c r="A3" s="4" t="s">
        <v>124</v>
      </c>
      <c r="B3" s="4" t="s">
        <v>125</v>
      </c>
      <c r="C3" s="4" t="s">
        <v>126</v>
      </c>
      <c r="D3" s="4" t="s">
        <v>127</v>
      </c>
    </row>
    <row r="4" customFormat="false" ht="15" hidden="false" customHeight="false" outlineLevel="0" collapsed="false">
      <c r="A4" s="4" t="s">
        <v>128</v>
      </c>
      <c r="B4" s="4" t="s">
        <v>129</v>
      </c>
      <c r="C4" s="4" t="s">
        <v>130</v>
      </c>
      <c r="D4" s="4" t="s">
        <v>127</v>
      </c>
    </row>
    <row r="5" customFormat="false" ht="15" hidden="false" customHeight="false" outlineLevel="0" collapsed="false">
      <c r="A5" s="4" t="s">
        <v>131</v>
      </c>
      <c r="B5" s="4" t="s">
        <v>129</v>
      </c>
      <c r="C5" s="4" t="s">
        <v>132</v>
      </c>
      <c r="D5" s="4" t="s">
        <v>127</v>
      </c>
    </row>
    <row r="6" customFormat="false" ht="15" hidden="false" customHeight="false" outlineLevel="0" collapsed="false">
      <c r="A6" s="4" t="s">
        <v>133</v>
      </c>
      <c r="B6" s="4" t="s">
        <v>134</v>
      </c>
      <c r="C6" s="4" t="s">
        <v>135</v>
      </c>
      <c r="D6" s="4" t="s">
        <v>136</v>
      </c>
    </row>
    <row r="7" customFormat="false" ht="28.35" hidden="false" customHeight="false" outlineLevel="0" collapsed="false">
      <c r="A7" s="4" t="s">
        <v>137</v>
      </c>
      <c r="B7" s="20" t="s">
        <v>138</v>
      </c>
      <c r="C7" s="4" t="s">
        <v>139</v>
      </c>
      <c r="D7" s="4" t="s">
        <v>140</v>
      </c>
    </row>
    <row r="8" customFormat="false" ht="15" hidden="false" customHeight="false" outlineLevel="0" collapsed="false">
      <c r="A8" s="4" t="s">
        <v>141</v>
      </c>
      <c r="B8" s="4" t="s">
        <v>142</v>
      </c>
      <c r="C8" s="4" t="s">
        <v>143</v>
      </c>
      <c r="D8" s="4" t="s">
        <v>144</v>
      </c>
    </row>
    <row r="9" customFormat="false" ht="28.35" hidden="false" customHeight="false" outlineLevel="0" collapsed="false">
      <c r="A9" s="4" t="s">
        <v>145</v>
      </c>
      <c r="B9" s="4" t="s">
        <v>146</v>
      </c>
      <c r="C9" s="4" t="s">
        <v>147</v>
      </c>
      <c r="D9" s="4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2026-09-11T11:31:29Z</dcterms:created>
  <dc:creator>openpyxl</dc:creator>
  <dc:description/>
  <dc:language>en-US</dc:language>
  <cp:lastModifiedBy/>
  <dcterms:modified xsi:type="dcterms:W3CDTF">2026-09-11T11:31:29Z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