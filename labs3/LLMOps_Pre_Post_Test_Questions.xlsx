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Test" sheetId="1" state="visible" r:id="rId3"/>
    <sheet name="Post-Test" sheetId="2" state="visible" r:id="rId4"/>
    <sheet name="Pre-Test Answer Sheet" sheetId="3" state="visible" r:id="rId5"/>
    <sheet name="Post-Test Answer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<sst xmlns="http://schemas.openxmlformats.org/spreadsheetml/2006/main" count="310" uniqueCount="215">
  <si>
    <t xml:space="preserve">Pre-Test Question Set (15) — LLMOps for Advanced Practitioners</t>
  </si>
  <si>
    <t xml:space="preserve">Scenario-based multiple choice. Difficulty easy–medium. Mapped to the LLMOps Advanced Labs (Azure ML / Azure Databricks). Answer key and rationale in columns I–J (hide before distribution).</t>
  </si>
  <si>
    <t xml:space="preserve">#</t>
  </si>
  <si>
    <t xml:space="preserve">Lab</t>
  </si>
  <si>
    <t xml:space="preserve">Difficulty</t>
  </si>
  <si>
    <t xml:space="preserve">Scenario / 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</si>
  <si>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</si>
  <si>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</si>
  <si>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</si>
  <si>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</si>
  <si>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</si>
  <si>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Rationale</t>
  </si>
  <si>
    <t xml:space="preserve">L01</t>
  </si>
  <si>
    <t xml:space="preserve">Easy</t>
  </si>
  <si>
    <t xml:space="preserve">Your team plans to serve a 31B-parameter dense model in bf16 on a single A100 80GB. Before any KV cache, roughly how much memory do the weights alone need?</t>
  </si>
  <si>
    <t xml:space="preserve">~31 GB</t>
  </si>
  <si>
    <t xml:space="preserve">~62 GB</t>
  </si>
  <si>
    <t xml:space="preserve">~124 GB</t>
  </si>
  <si>
    <t xml:space="preserve">~15 GB</t>
  </si>
  <si>
    <t xml:space="preserve">bf16 = 2 bytes per parameter → 31 × 2 = 62 GB, already over one 80GB card once KV cache and overhead are added.</t>
  </si>
  <si>
    <t xml:space="preserve">Medium</t>
  </si>
  <si>
    <t xml:space="preserve">A colleague says a 26B-total / 4B-active MoE model needs only about 8 GB of GPU memory because 'only 4B parameters are active'. What is wrong?</t>
  </si>
  <si>
    <t xml:space="preserve">All expert weights must be resident; active parameters reduce compute, not memory</t>
  </si>
  <si>
    <t xml:space="preserve">Nothing — active parameters determine memory</t>
  </si>
  <si>
    <t xml:space="preserve">MoE models cannot run on a single GPU</t>
  </si>
  <si>
    <t xml:space="preserve">KV cache is not needed for MoE</t>
  </si>
  <si>
    <t xml:space="preserve">Routing picks experts per token, but every expert's weights must be loaded. ~26B × 2 bytes ≈ 52 GB in bf16.</t>
  </si>
  <si>
    <t xml:space="preserve">L02</t>
  </si>
  <si>
    <t xml:space="preserve">The edge team wants to run a small model on in-store devices with CPU only, using llama.cpp. Which shipping format do they need?</t>
  </si>
  <si>
    <t xml:space="preserve">ONNX</t>
  </si>
  <si>
    <t xml:space="preserve">AWQ int4 for vLLM</t>
  </si>
  <si>
    <t xml:space="preserve">GGUF</t>
  </si>
  <si>
    <t xml:space="preserve">safetensors bf16</t>
  </si>
  <si>
    <t xml:space="preserve">GGUF is llama.cpp's format and is the usual choice for CPU/edge inference.</t>
  </si>
  <si>
    <t xml:space="preserve">After int4 quantisation with group size 256, one linear layer shows a much larger error than the others. Inspection shows a single very large weight. What is the most likely cause and the simplest first fix?</t>
  </si>
  <si>
    <t xml:space="preserve">int4 is unusable for that layer; keep it in fp32</t>
  </si>
  <si>
    <t xml:space="preserve">The layer needs a bigger learning rate</t>
  </si>
  <si>
    <t xml:space="preserve">Rounding bug; re-run the converter</t>
  </si>
  <si>
    <t xml:space="preserve">An outlier inflates its group's scale; use a smaller group size (e.g. 64 or 128)</t>
  </si>
  <si>
    <t xml:space="preserve">One outlier sets the absmax scale for the whole group; smaller groups limit the damage (AWQ/GPTQ address this more cleverly).</t>
  </si>
  <si>
    <t xml:space="preserve">L03</t>
  </si>
  <si>
    <t xml:space="preserve">For an ad-copy generation API, product managers care most about how quickly the first words appear on screen. Which metric should the serving benchmark report for that?</t>
  </si>
  <si>
    <t xml:space="preserve">Time to first token (TTFT) p50/p95</t>
  </si>
  <si>
    <t xml:space="preserve">GPU utilisation</t>
  </si>
  <si>
    <t xml:space="preserve">Throughput (tokens/s)</t>
  </si>
  <si>
    <t xml:space="preserve">Cold-start time</t>
  </si>
  <si>
    <t xml:space="preserve">TTFT is the user-perceived responsiveness metric; throughput matters for cost, not first-word latency.</t>
  </si>
  <si>
    <t xml:space="preserve">You need to serve many different Hugging Face models that change weekly, and the deployment must be online within two minutes of a model swap. Which engine choice best fits?</t>
  </si>
  <si>
    <t xml:space="preserve">Run the model in a Spark UDF</t>
  </si>
  <si>
    <t xml:space="preserve">vLLM (or SGLang) serving directly from the checkpoint</t>
  </si>
  <si>
    <t xml:space="preserve">Export to ONNX and use onnxruntime</t>
  </si>
  <si>
    <t xml:space="preserve">TensorRT-LLM with compiled engines</t>
  </si>
  <si>
    <t xml:space="preserve">TensorRT-LLM's engine build step can take tens of minutes; vLLM/SGLang load checkpoints directly with a much faster cold start.</t>
  </si>
  <si>
    <t xml:space="preserve">L04</t>
  </si>
  <si>
    <t xml:space="preserve">The recommendation team reports retrieval quality with recall@10 = 0.82. What does this number mean?</t>
  </si>
  <si>
    <t xml:space="preserve">On average 82% of the relevant items appear in the top 10 results</t>
  </si>
  <si>
    <t xml:space="preserve">82% of queries return at least one result</t>
  </si>
  <si>
    <t xml:space="preserve">82% of retrieved items are relevant</t>
  </si>
  <si>
    <t xml:space="preserve">The index answers in 82 ms</t>
  </si>
  <si>
    <t xml:space="preserve">recall@k = |top-k ∩ relevant| / |relevant| (capped at k), averaged over queries.</t>
  </si>
  <si>
    <t xml:space="preserve">L05</t>
  </si>
  <si>
    <t xml:space="preserve">Why is standard attention on a long sequence usually limited by memory bandwidth rather than arithmetic?</t>
  </si>
  <si>
    <t xml:space="preserve">Softmax is expensive</t>
  </si>
  <si>
    <t xml:space="preserve">Matrix multiplication is slow on GPUs</t>
  </si>
  <si>
    <t xml:space="preserve">GPUs have too few cores</t>
  </si>
  <si>
    <t xml:space="preserve">It materialises an N×N score matrix that must be written to and read from HBM</t>
  </si>
  <si>
    <t xml:space="preserve">The N² score/probability matrices are the traffic; FlashAttention avoids materialising them.</t>
  </si>
  <si>
    <t xml:space="preserve">L06</t>
  </si>
  <si>
    <t xml:space="preserve">An MoE serving dashboard shows expert 0 receiving 40% of tokens while the other seven get ~8% each. What operational effect should you expect?</t>
  </si>
  <si>
    <t xml:space="preserve">Higher accuracy</t>
  </si>
  <si>
    <t xml:space="preserve">The GPU holding expert 0 becomes the bottleneck while others idle; latency rises</t>
  </si>
  <si>
    <t xml:space="preserve">No effect — routing is free</t>
  </si>
  <si>
    <t xml:space="preserve">Lower memory use</t>
  </si>
  <si>
    <t xml:space="preserve">Load imbalance leaves capacity unused on other experts/GPUs; capacity factors and load-balancing losses exist to fight this.</t>
  </si>
  <si>
    <t xml:space="preserve">L07</t>
  </si>
  <si>
    <t xml:space="preserve">You fine-tune a 4B model with LoRA (rank 16) on attention projections. Roughly what fraction of parameters is trainable?</t>
  </si>
  <si>
    <t xml:space="preserve">Exactly 16%</t>
  </si>
  <si>
    <t xml:space="preserve">About half</t>
  </si>
  <si>
    <t xml:space="preserve">All of them</t>
  </si>
  <si>
    <t xml:space="preserve">Well under 1%</t>
  </si>
  <si>
    <t xml:space="preserve">LoRA trains only small A and B matrices; trainable parameters are typically a fraction of a percent of the base model.</t>
  </si>
  <si>
    <t xml:space="preserve">L08</t>
  </si>
  <si>
    <t xml:space="preserve">Nightly you must classify 5 million catalog titles into 8 taxonomy categories on a fixed budget. Which is the most cost-effective default?</t>
  </si>
  <si>
    <t xml:space="preserve">Zero-shot prompting of a 31B LLM per item</t>
  </si>
  <si>
    <t xml:space="preserve">Manual labelling</t>
  </si>
  <si>
    <t xml:space="preserve">A fine-tuned RoBERTa-class encoder classifier exported to ONNX and run in batch</t>
  </si>
  <si>
    <t xml:space="preserve">Embedding search against 8 category names with a 31B model</t>
  </si>
  <si>
    <t xml:space="preserve">Encoder classifiers run thousands of items/second per node; LLM zero-shot costs tokens per item and is orders of magnitude more expensive for high-volume simple classification.</t>
  </si>
  <si>
    <t xml:space="preserve">L09</t>
  </si>
  <si>
    <t xml:space="preserve">A new model version scores exact-match 0.86 (floor 0.80) but its output is missing the 'size' key in 15% of responses. Your CI gate only checks exact-match. What is the risk and the fix?</t>
  </si>
  <si>
    <t xml:space="preserve">Retrain with more epochs</t>
  </si>
  <si>
    <t xml:space="preserve">No risk — it passed the floor</t>
  </si>
  <si>
    <t xml:space="preserve">Lower the floor to 0.70</t>
  </si>
  <si>
    <t xml:space="preserve">Downstream JSON parsers break; add a schema-validity check and a no-regression-vs-champion rule</t>
  </si>
  <si>
    <t xml:space="preserve">A single metric hides structural regressions; gates should check schema validity and compare to the champion within a tolerance.</t>
  </si>
  <si>
    <t xml:space="preserve">L10</t>
  </si>
  <si>
    <t xml:space="preserve">Monitoring shows PSI = 0.32 for input title length this week versus the baseline, and 0.03 for attribute count. How should this be read?</t>
  </si>
  <si>
    <t xml:space="preserve">PSI cannot be compared across features</t>
  </si>
  <si>
    <t xml:space="preserve">Both features drifted</t>
  </si>
  <si>
    <t xml:space="preserve">Title length drifted materially (&gt;0.25); attribute count is stable (&lt;0.1)</t>
  </si>
  <si>
    <t xml:space="preserve">Neither drifted</t>
  </si>
  <si>
    <t xml:space="preserve">Common PSI thresholds: &lt;0.1 stable, 0.1–0.25 watch, &gt;0.25 drift.</t>
  </si>
  <si>
    <t xml:space="preserve">L12</t>
  </si>
  <si>
    <t xml:space="preserve">You want to roll out ranker B against ranker A while limiting the traffic sent to the worse version. Which approach adapts traffic as evidence accumulates?</t>
  </si>
  <si>
    <t xml:space="preserve">Shadow mode with no traffic</t>
  </si>
  <si>
    <t xml:space="preserve">Deploy B to 100% and watch</t>
  </si>
  <si>
    <t xml:space="preserve">Thompson-sampling (multi-armed bandit)</t>
  </si>
  <si>
    <t xml:space="preserve">Fixed 50/50 A/B test for two weeks</t>
  </si>
  <si>
    <t xml:space="preserve">Bandits shift allocation toward the better arm, giving lower cumulative regret than a fixed split.</t>
  </si>
  <si>
    <t xml:space="preserve">L13</t>
  </si>
  <si>
    <t xml:space="preserve">Ten evaluation prompts also appear verbatim in the fine-tuning training set. What should the data pipeline do?</t>
  </si>
  <si>
    <t xml:space="preserve">Remove them from the evaluation set so eval stays independent</t>
  </si>
  <si>
    <t xml:space="preserve">Remove them from the training set</t>
  </si>
  <si>
    <t xml:space="preserve">Keep both — more data is better</t>
  </si>
  <si>
    <t xml:space="preserve">Duplicate them to balance</t>
  </si>
  <si>
    <t xml:space="preserve">Eval must be clean and independent; train can keep its rows, the leaked items leave eval.</t>
  </si>
  <si>
    <t xml:space="preserve">Post-Test Question Set (15) — LLMOps for Advanced Practitioners</t>
  </si>
  <si>
    <t xml:space="preserve">Using the lab's memory-fit formula, a dense 31B bf16 model with a KV cache of ~16 GB (batch 8, 8k context) and 10% overhead totals ~86 GB. With 90% usable memory per GPU, how many A100-80GB cards are needed?</t>
  </si>
  <si>
    <t xml:space="preserve">2</t>
  </si>
  <si>
    <t xml:space="preserve">4</t>
  </si>
  <si>
    <t xml:space="preserve">1</t>
  </si>
  <si>
    <t xml:space="preserve">3</t>
  </si>
  <si>
    <t xml:space="preserve">86 / (80 × 0.9 = 72) = 1.19 → ceil = 2. The KV cache and overhead push it over one card.</t>
  </si>
  <si>
    <t xml:space="preserve">In L02 you exported a classifier to ONNX and checked prediction agreement with the source model on the full test set. Why is this check mandatory before shipping?</t>
  </si>
  <si>
    <t xml:space="preserve">ONNX files are always smaller</t>
  </si>
  <si>
    <t xml:space="preserve">It speeds up inference</t>
  </si>
  <si>
    <t xml:space="preserve">A converter can silently change behaviour; equivalence must be proven, not assumed</t>
  </si>
  <si>
    <t xml:space="preserve">onnxruntime requires it</t>
  </si>
  <si>
    <t xml:space="preserve">Export equivalence is a release gate; a silent mismatch is a production incident.</t>
  </si>
  <si>
    <t xml:space="preserve">Your harness measured TTFT p50 = 52 ms on a mock server configured for 50 ms first-token latency. The real vLLM run shows p95 TTFT rising sharply at concurrency 32. What is the most likely interpretation?</t>
  </si>
  <si>
    <t xml:space="preserve">Requests are queueing under continuous batching at that load; you are near the engine's capacity</t>
  </si>
  <si>
    <t xml:space="preserve">TTFT is not affected by load</t>
  </si>
  <si>
    <t xml:space="preserve">The harness is broken</t>
  </si>
  <si>
    <t xml:space="preserve">vLLM does not support concurrency</t>
  </si>
  <si>
    <t xml:space="preserve">The mock validated the harness; the p95 growth is the real engine saturating — the point of testing three concurrency levels.</t>
  </si>
  <si>
    <t xml:space="preserve">In the bake-off you must record TensorRT-LLM's engine-build time separately from its cold start. Why?</t>
  </si>
  <si>
    <t xml:space="preserve">Only vLLM has a cold start</t>
  </si>
  <si>
    <t xml:space="preserve">Engine build is billed differently</t>
  </si>
  <si>
    <t xml:space="preserve">Engine build is a one-off cost that changes the decision for short-lived vs long-lived deployments</t>
  </si>
  <si>
    <t xml:space="preserve">It is always zero</t>
  </si>
  <si>
    <t xml:space="preserve">A long build is acceptable for a single long-lived model but not for weekly model swaps.</t>
  </si>
  <si>
    <t xml:space="preserve">Brute-force search and your HNSW index agree on only 88% of top-10 results, below the 95% target. What is the right next action?</t>
  </si>
  <si>
    <t xml:space="preserve">Switch to keyword search</t>
  </si>
  <si>
    <t xml:space="preserve">Reduce k to 5</t>
  </si>
  <si>
    <t xml:space="preserve">Accept it — approximate search is always lossy</t>
  </si>
  <si>
    <t xml:space="preserve">Tune index parameters (e.g. ef_search / M) and re-measure agreement against brute force</t>
  </si>
  <si>
    <t xml:space="preserve">Exact search is the reference; index recall is tuned by its parameters and re-measured, not assumed.</t>
  </si>
  <si>
    <t xml:space="preserve">In the tiled attention you wrote, why must the accumulated output be rescaled by exp(m_old − m_new) when a new block raises the running max?</t>
  </si>
  <si>
    <t xml:space="preserve">Because softmax is computed relative to the max; earlier partial sums were scaled with the old max and must be corrected</t>
  </si>
  <si>
    <t xml:space="preserve">To reduce memory</t>
  </si>
  <si>
    <t xml:space="preserve">It is optional and only improves speed</t>
  </si>
  <si>
    <t xml:space="preserve">To normalise the output to unit length</t>
  </si>
  <si>
    <t xml:space="preserve">This is the online-softmax recurrence that makes streaming K/V blocks exact.</t>
  </si>
  <si>
    <t xml:space="preserve">Your profiler trace shows attention kernels at 61% of decode time with eager attention and 34% with FlashAttention, with the same output. What changed?</t>
  </si>
  <si>
    <t xml:space="preserve">The model got smaller</t>
  </si>
  <si>
    <t xml:space="preserve">FLOPs were reduced</t>
  </si>
  <si>
    <t xml:space="preserve">HBM traffic for the N×N matrices was eliminated, so the kernel became less memory-bound</t>
  </si>
  <si>
    <t xml:space="preserve">Batch size increased</t>
  </si>
  <si>
    <t xml:space="preserve">Same maths, less memory movement — the FlashAttention argument demonstrated by measurement.</t>
  </si>
  <si>
    <t xml:space="preserve">At capacity factor 1.0 your skewed router drops 9% of tokens; at 1.25 it drops 1%. What is the trade-off of raising the capacity factor?</t>
  </si>
  <si>
    <t xml:space="preserve">Lower accuracy</t>
  </si>
  <si>
    <t xml:space="preserve">No trade-off — always use the highest</t>
  </si>
  <si>
    <t xml:space="preserve">More padding/compute and memory per expert for headroom versus fewer dropped tokens</t>
  </si>
  <si>
    <t xml:space="preserve">It disables routing</t>
  </si>
  <si>
    <t xml:space="preserve">Capacity factor buys reliability with wasted capacity; balancing the router reduces the need for it.</t>
  </si>
  <si>
    <t xml:space="preserve">Your MoE-vs-dense table shows Gemma 4 26B A4B at ~52 GB resident memory and ~13% of the dense 31B model's per-token compute. Which resource decides whether it fits on one A100-80GB?</t>
  </si>
  <si>
    <t xml:space="preserve">Network bandwidth</t>
  </si>
  <si>
    <t xml:space="preserve">Number of experts</t>
  </si>
  <si>
    <t xml:space="preserve">Compute</t>
  </si>
  <si>
    <t xml:space="preserve">Memory (weights + KV cache)</t>
  </si>
  <si>
    <t xml:space="preserve">Feasibility is decided by resident memory; compute decides throughput and cost once it fits.</t>
  </si>
  <si>
    <t xml:space="preserve">After LoRA training you 'merge and unload' before registering the model in Unity Catalog. What does the merge do and why is it safe?</t>
  </si>
  <si>
    <t xml:space="preserve">Converts to ONNX</t>
  </si>
  <si>
    <t xml:space="preserve">Deletes the adapter; behaviour changes</t>
  </si>
  <si>
    <t xml:space="preserve">Compresses the model to int4</t>
  </si>
  <si>
    <t xml:space="preserve">Adds B·A (scaled) into W so the merged forward pass equals the adapter forward pass — proven in Step 2 of the lab</t>
  </si>
  <si>
    <t xml:space="preserve">W_merged = W + (α/r)·B·A; the lab asserted adapter and merged outputs are equal.</t>
  </si>
  <si>
    <t xml:space="preserve">Your fine-tuned Gemma model scores exact-match 0.78 on the eval set, while the rule-based baseline scores 0.95. Per the lab's acceptance policy, what happens?</t>
  </si>
  <si>
    <t xml:space="preserve">Ship the LLM — it is more modern</t>
  </si>
  <si>
    <t xml:space="preserve">Do not ship; a tuned model that loses to the rule baseline fails the gate</t>
  </si>
  <si>
    <t xml:space="preserve">Lower the floor to 0.75</t>
  </si>
  <si>
    <t xml:space="preserve">Ship both</t>
  </si>
  <si>
    <t xml:space="preserve">The floor and the baseline comparison exist precisely to stop this.</t>
  </si>
  <si>
    <t xml:space="preserve">Your Spark pandas UDF for ONNX scoring runs slower than the single-node loop. The code creates a new InferenceSession inside the UDF function. What is the fix?</t>
  </si>
  <si>
    <t xml:space="preserve">Use more executors</t>
  </si>
  <si>
    <t xml:space="preserve">Cache the session at module level so it is created once per executor process, and raise the Arrow batch size</t>
  </si>
  <si>
    <t xml:space="preserve">Disable Arrow</t>
  </si>
  <si>
    <t xml:space="preserve">Switch to a Python UDF</t>
  </si>
  <si>
    <t xml:space="preserve">Session creation per batch dominates; the lab caches the session and tunes maxRecordsPerBatch.</t>
  </si>
  <si>
    <t xml:space="preserve">Your Azure ML pipeline has train → eval_gate → register. The eval_gate component exits with code 1 for the 'regressed' candidate. What is the intended outcome?</t>
  </si>
  <si>
    <t xml:space="preserve">The model is registered as champion</t>
  </si>
  <si>
    <t xml:space="preserve">The component retries</t>
  </si>
  <si>
    <t xml:space="preserve">The pipeline fails at eval_gate and registration never runs</t>
  </si>
  <si>
    <t xml:space="preserve">Registration proceeds with a warning</t>
  </si>
  <si>
    <t xml:space="preserve">A non-zero exit fails the job and blocks the downstream registration step — that is the gate.</t>
  </si>
  <si>
    <t xml:space="preserve">You inject a +40% latency fault into a copy of week 4 and the p95 alert (threshold 1.25× baseline) fires, while the unmodified week 4 stays silent. Why is this test part of the lab deliverable?</t>
  </si>
  <si>
    <t xml:space="preserve">Because alerts are optional</t>
  </si>
  <si>
    <t xml:space="preserve">An alert that has never been seen firing is unproven; the injected fault demonstrates both sensitivity and no false positive</t>
  </si>
  <si>
    <t xml:space="preserve">To increase cost</t>
  </si>
  <si>
    <t xml:space="preserve">To test the GPU</t>
  </si>
  <si>
    <t xml:space="preserve">Monitoring is only trustworthy once you have watched it detect a known fault.</t>
  </si>
  <si>
    <t xml:space="preserve">L11</t>
  </si>
  <si>
    <t xml:space="preserve">In the autoscaling simulation a replica dies at minute 300 with a minimum of 2 replicas configured. Queue wait spikes briefly then recovers. Which two mechanisms produced the recovery?</t>
  </si>
  <si>
    <t xml:space="preserve">Larger batch size and FlashAttention</t>
  </si>
  <si>
    <t xml:space="preserve">Tensor parallelism and quantisation</t>
  </si>
  <si>
    <t xml:space="preserve">Spot pricing and caching</t>
  </si>
  <si>
    <t xml:space="preserve">Minimum-replica floor for HA plus scale-up when queue wait approaches the SLA</t>
  </si>
  <si>
    <t xml:space="preserve">HA minimum keeps service alive; the scale-up rule restores capacity — the L11 simulation's two levers.</t>
  </si>
  <si>
    <t xml:space="preserve">Pre-Test answer sheet — participant enters A/B/C/D in column B; score computed by formula</t>
  </si>
  <si>
    <t xml:space="preserve">Participant name:</t>
  </si>
  <si>
    <t xml:space="preserve">Your answer</t>
  </si>
  <si>
    <t xml:space="preserve">Mark</t>
  </si>
  <si>
    <t xml:space="preserve">Score</t>
  </si>
  <si>
    <t xml:space="preserve">of 15</t>
  </si>
  <si>
    <t xml:space="preserve">Post-Test answer sheet — participant enters A/B/C/D in column B; score computed by formula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</si>
</sst>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295C"/>
      <name val="Cambria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65A82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65A8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9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8" min="7" style="0" width="28"/>
    <col collapsed="false" customWidth="true" hidden="false" outlineLevel="0" max="9" min="9" style="0" width="9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1.7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7</v>
      </c>
      <c r="J5" s="4" t="s">
        <v>19</v>
      </c>
    </row>
    <row r="6" customFormat="false" ht="41.75" hidden="false" customHeight="false" outlineLevel="0" collapsed="false">
      <c r="A6" s="5" t="n">
        <v>2</v>
      </c>
      <c r="B6" s="5" t="s">
        <v>12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  <c r="I6" s="5" t="s">
        <v>6</v>
      </c>
      <c r="J6" s="5" t="s">
        <v>26</v>
      </c>
    </row>
    <row r="7" customFormat="false" ht="28.35" hidden="false" customHeight="false" outlineLevel="0" collapsed="false">
      <c r="A7" s="4" t="n">
        <v>3</v>
      </c>
      <c r="B7" s="4" t="s">
        <v>27</v>
      </c>
      <c r="C7" s="4" t="s">
        <v>13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  <c r="I7" s="4" t="s">
        <v>8</v>
      </c>
      <c r="J7" s="4" t="s">
        <v>33</v>
      </c>
    </row>
    <row r="8" customFormat="false" ht="41.75" hidden="false" customHeight="false" outlineLevel="0" collapsed="false">
      <c r="A8" s="5" t="n">
        <v>4</v>
      </c>
      <c r="B8" s="5" t="s">
        <v>27</v>
      </c>
      <c r="C8" s="5" t="s">
        <v>20</v>
      </c>
      <c r="D8" s="5" t="s">
        <v>34</v>
      </c>
      <c r="E8" s="5" t="s">
        <v>35</v>
      </c>
      <c r="F8" s="5" t="s">
        <v>36</v>
      </c>
      <c r="G8" s="5" t="s">
        <v>37</v>
      </c>
      <c r="H8" s="5" t="s">
        <v>38</v>
      </c>
      <c r="I8" s="5" t="s">
        <v>9</v>
      </c>
      <c r="J8" s="5" t="s">
        <v>39</v>
      </c>
    </row>
    <row r="9" customFormat="false" ht="41.75" hidden="false" customHeight="false" outlineLevel="0" collapsed="false">
      <c r="A9" s="4" t="n">
        <v>5</v>
      </c>
      <c r="B9" s="4" t="s">
        <v>40</v>
      </c>
      <c r="C9" s="4" t="s">
        <v>13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6</v>
      </c>
      <c r="J9" s="4" t="s">
        <v>46</v>
      </c>
    </row>
    <row r="10" customFormat="false" ht="41.75" hidden="false" customHeight="false" outlineLevel="0" collapsed="false">
      <c r="A10" s="5" t="n">
        <v>6</v>
      </c>
      <c r="B10" s="5" t="s">
        <v>40</v>
      </c>
      <c r="C10" s="5" t="s">
        <v>20</v>
      </c>
      <c r="D10" s="5" t="s">
        <v>47</v>
      </c>
      <c r="E10" s="5" t="s">
        <v>48</v>
      </c>
      <c r="F10" s="5" t="s">
        <v>49</v>
      </c>
      <c r="G10" s="5" t="s">
        <v>50</v>
      </c>
      <c r="H10" s="5" t="s">
        <v>51</v>
      </c>
      <c r="I10" s="5" t="s">
        <v>7</v>
      </c>
      <c r="J10" s="5" t="s">
        <v>52</v>
      </c>
    </row>
    <row r="11" customFormat="false" ht="41.75" hidden="false" customHeight="false" outlineLevel="0" collapsed="false">
      <c r="A11" s="4" t="n">
        <v>7</v>
      </c>
      <c r="B11" s="4" t="s">
        <v>53</v>
      </c>
      <c r="C11" s="4" t="s">
        <v>13</v>
      </c>
      <c r="D11" s="4" t="s">
        <v>54</v>
      </c>
      <c r="E11" s="4" t="s">
        <v>55</v>
      </c>
      <c r="F11" s="4" t="s">
        <v>56</v>
      </c>
      <c r="G11" s="4" t="s">
        <v>57</v>
      </c>
      <c r="H11" s="4" t="s">
        <v>58</v>
      </c>
      <c r="I11" s="4" t="s">
        <v>6</v>
      </c>
      <c r="J11" s="4" t="s">
        <v>59</v>
      </c>
    </row>
    <row r="12" customFormat="false" ht="41.75" hidden="false" customHeight="false" outlineLevel="0" collapsed="false">
      <c r="A12" s="5" t="n">
        <v>8</v>
      </c>
      <c r="B12" s="5" t="s">
        <v>60</v>
      </c>
      <c r="C12" s="5" t="s">
        <v>13</v>
      </c>
      <c r="D12" s="5" t="s">
        <v>61</v>
      </c>
      <c r="E12" s="5" t="s">
        <v>62</v>
      </c>
      <c r="F12" s="5" t="s">
        <v>63</v>
      </c>
      <c r="G12" s="5" t="s">
        <v>64</v>
      </c>
      <c r="H12" s="5" t="s">
        <v>65</v>
      </c>
      <c r="I12" s="5" t="s">
        <v>9</v>
      </c>
      <c r="J12" s="5" t="s">
        <v>66</v>
      </c>
    </row>
    <row r="13" customFormat="false" ht="41.75" hidden="false" customHeight="false" outlineLevel="0" collapsed="false">
      <c r="A13" s="4" t="n">
        <v>9</v>
      </c>
      <c r="B13" s="4" t="s">
        <v>67</v>
      </c>
      <c r="C13" s="4" t="s">
        <v>20</v>
      </c>
      <c r="D13" s="4" t="s">
        <v>68</v>
      </c>
      <c r="E13" s="4" t="s">
        <v>69</v>
      </c>
      <c r="F13" s="4" t="s">
        <v>70</v>
      </c>
      <c r="G13" s="4" t="s">
        <v>71</v>
      </c>
      <c r="H13" s="4" t="s">
        <v>72</v>
      </c>
      <c r="I13" s="4" t="s">
        <v>7</v>
      </c>
      <c r="J13" s="4" t="s">
        <v>73</v>
      </c>
    </row>
    <row r="14" customFormat="false" ht="28.35" hidden="false" customHeight="false" outlineLevel="0" collapsed="false">
      <c r="A14" s="5" t="n">
        <v>10</v>
      </c>
      <c r="B14" s="5" t="s">
        <v>74</v>
      </c>
      <c r="C14" s="5" t="s">
        <v>13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79</v>
      </c>
      <c r="I14" s="5" t="s">
        <v>9</v>
      </c>
      <c r="J14" s="5" t="s">
        <v>80</v>
      </c>
    </row>
    <row r="15" customFormat="false" ht="41.75" hidden="false" customHeight="false" outlineLevel="0" collapsed="false">
      <c r="A15" s="4" t="n">
        <v>11</v>
      </c>
      <c r="B15" s="4" t="s">
        <v>81</v>
      </c>
      <c r="C15" s="4" t="s">
        <v>13</v>
      </c>
      <c r="D15" s="4" t="s">
        <v>82</v>
      </c>
      <c r="E15" s="4" t="s">
        <v>83</v>
      </c>
      <c r="F15" s="4" t="s">
        <v>84</v>
      </c>
      <c r="G15" s="4" t="s">
        <v>85</v>
      </c>
      <c r="H15" s="4" t="s">
        <v>86</v>
      </c>
      <c r="I15" s="4" t="s">
        <v>8</v>
      </c>
      <c r="J15" s="4" t="s">
        <v>87</v>
      </c>
    </row>
    <row r="16" customFormat="false" ht="55.2" hidden="false" customHeight="false" outlineLevel="0" collapsed="false">
      <c r="A16" s="5" t="n">
        <v>12</v>
      </c>
      <c r="B16" s="5" t="s">
        <v>88</v>
      </c>
      <c r="C16" s="5" t="s">
        <v>20</v>
      </c>
      <c r="D16" s="5" t="s">
        <v>89</v>
      </c>
      <c r="E16" s="5" t="s">
        <v>90</v>
      </c>
      <c r="F16" s="5" t="s">
        <v>91</v>
      </c>
      <c r="G16" s="5" t="s">
        <v>92</v>
      </c>
      <c r="H16" s="5" t="s">
        <v>93</v>
      </c>
      <c r="I16" s="5" t="s">
        <v>9</v>
      </c>
      <c r="J16" s="5" t="s">
        <v>94</v>
      </c>
    </row>
    <row r="17" customFormat="false" ht="41.75" hidden="false" customHeight="false" outlineLevel="0" collapsed="false">
      <c r="A17" s="4" t="n">
        <v>13</v>
      </c>
      <c r="B17" s="4" t="s">
        <v>95</v>
      </c>
      <c r="C17" s="4" t="s">
        <v>13</v>
      </c>
      <c r="D17" s="4" t="s">
        <v>96</v>
      </c>
      <c r="E17" s="4" t="s">
        <v>97</v>
      </c>
      <c r="F17" s="4" t="s">
        <v>98</v>
      </c>
      <c r="G17" s="4" t="s">
        <v>99</v>
      </c>
      <c r="H17" s="4" t="s">
        <v>100</v>
      </c>
      <c r="I17" s="4" t="s">
        <v>8</v>
      </c>
      <c r="J17" s="4" t="s">
        <v>101</v>
      </c>
    </row>
    <row r="18" customFormat="false" ht="41.75" hidden="false" customHeight="false" outlineLevel="0" collapsed="false">
      <c r="A18" s="5" t="n">
        <v>14</v>
      </c>
      <c r="B18" s="5" t="s">
        <v>102</v>
      </c>
      <c r="C18" s="5" t="s">
        <v>20</v>
      </c>
      <c r="D18" s="5" t="s">
        <v>103</v>
      </c>
      <c r="E18" s="5" t="s">
        <v>104</v>
      </c>
      <c r="F18" s="5" t="s">
        <v>105</v>
      </c>
      <c r="G18" s="5" t="s">
        <v>106</v>
      </c>
      <c r="H18" s="5" t="s">
        <v>107</v>
      </c>
      <c r="I18" s="5" t="s">
        <v>8</v>
      </c>
      <c r="J18" s="5" t="s">
        <v>108</v>
      </c>
    </row>
    <row r="19" customFormat="false" ht="41.75" hidden="false" customHeight="false" outlineLevel="0" collapsed="false">
      <c r="A19" s="4" t="n">
        <v>15</v>
      </c>
      <c r="B19" s="4" t="s">
        <v>109</v>
      </c>
      <c r="C19" s="4" t="s">
        <v>13</v>
      </c>
      <c r="D19" s="4" t="s">
        <v>110</v>
      </c>
      <c r="E19" s="4" t="s">
        <v>111</v>
      </c>
      <c r="F19" s="4" t="s">
        <v>112</v>
      </c>
      <c r="G19" s="4" t="s">
        <v>113</v>
      </c>
      <c r="H19" s="4" t="s">
        <v>114</v>
      </c>
      <c r="I19" s="4" t="s">
        <v>6</v>
      </c>
      <c r="J19" s="4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8" min="7" style="0" width="28"/>
    <col collapsed="false" customWidth="true" hidden="false" outlineLevel="0" max="9" min="9" style="0" width="9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55.2" hidden="false" customHeight="false" outlineLevel="0" collapsed="false">
      <c r="A5" s="4" t="n">
        <v>1</v>
      </c>
      <c r="B5" s="4" t="s">
        <v>12</v>
      </c>
      <c r="C5" s="4" t="s">
        <v>20</v>
      </c>
      <c r="D5" s="4" t="s">
        <v>117</v>
      </c>
      <c r="E5" s="4" t="s">
        <v>118</v>
      </c>
      <c r="F5" s="4" t="s">
        <v>119</v>
      </c>
      <c r="G5" s="4" t="s">
        <v>120</v>
      </c>
      <c r="H5" s="4" t="s">
        <v>121</v>
      </c>
      <c r="I5" s="4" t="s">
        <v>6</v>
      </c>
      <c r="J5" s="4" t="s">
        <v>122</v>
      </c>
    </row>
    <row r="6" customFormat="false" ht="41.75" hidden="false" customHeight="false" outlineLevel="0" collapsed="false">
      <c r="A6" s="5" t="n">
        <v>2</v>
      </c>
      <c r="B6" s="5" t="s">
        <v>27</v>
      </c>
      <c r="C6" s="5" t="s">
        <v>20</v>
      </c>
      <c r="D6" s="5" t="s">
        <v>123</v>
      </c>
      <c r="E6" s="5" t="s">
        <v>124</v>
      </c>
      <c r="F6" s="5" t="s">
        <v>125</v>
      </c>
      <c r="G6" s="5" t="s">
        <v>126</v>
      </c>
      <c r="H6" s="5" t="s">
        <v>127</v>
      </c>
      <c r="I6" s="5" t="s">
        <v>8</v>
      </c>
      <c r="J6" s="5" t="s">
        <v>128</v>
      </c>
    </row>
    <row r="7" customFormat="false" ht="55.2" hidden="false" customHeight="false" outlineLevel="0" collapsed="false">
      <c r="A7" s="4" t="n">
        <v>3</v>
      </c>
      <c r="B7" s="4" t="s">
        <v>40</v>
      </c>
      <c r="C7" s="4" t="s">
        <v>20</v>
      </c>
      <c r="D7" s="4" t="s">
        <v>129</v>
      </c>
      <c r="E7" s="4" t="s">
        <v>130</v>
      </c>
      <c r="F7" s="4" t="s">
        <v>131</v>
      </c>
      <c r="G7" s="4" t="s">
        <v>132</v>
      </c>
      <c r="H7" s="4" t="s">
        <v>133</v>
      </c>
      <c r="I7" s="4" t="s">
        <v>6</v>
      </c>
      <c r="J7" s="4" t="s">
        <v>134</v>
      </c>
    </row>
    <row r="8" customFormat="false" ht="55.2" hidden="false" customHeight="false" outlineLevel="0" collapsed="false">
      <c r="A8" s="5" t="n">
        <v>4</v>
      </c>
      <c r="B8" s="5" t="s">
        <v>40</v>
      </c>
      <c r="C8" s="5" t="s">
        <v>13</v>
      </c>
      <c r="D8" s="5" t="s">
        <v>135</v>
      </c>
      <c r="E8" s="5" t="s">
        <v>136</v>
      </c>
      <c r="F8" s="5" t="s">
        <v>137</v>
      </c>
      <c r="G8" s="5" t="s">
        <v>138</v>
      </c>
      <c r="H8" s="5" t="s">
        <v>139</v>
      </c>
      <c r="I8" s="5" t="s">
        <v>8</v>
      </c>
      <c r="J8" s="5" t="s">
        <v>140</v>
      </c>
    </row>
    <row r="9" customFormat="false" ht="41.75" hidden="false" customHeight="false" outlineLevel="0" collapsed="false">
      <c r="A9" s="4" t="n">
        <v>5</v>
      </c>
      <c r="B9" s="4" t="s">
        <v>53</v>
      </c>
      <c r="C9" s="4" t="s">
        <v>20</v>
      </c>
      <c r="D9" s="4" t="s">
        <v>141</v>
      </c>
      <c r="E9" s="4" t="s">
        <v>142</v>
      </c>
      <c r="F9" s="4" t="s">
        <v>143</v>
      </c>
      <c r="G9" s="4" t="s">
        <v>144</v>
      </c>
      <c r="H9" s="4" t="s">
        <v>145</v>
      </c>
      <c r="I9" s="4" t="s">
        <v>9</v>
      </c>
      <c r="J9" s="4" t="s">
        <v>146</v>
      </c>
    </row>
    <row r="10" customFormat="false" ht="68.65" hidden="false" customHeight="false" outlineLevel="0" collapsed="false">
      <c r="A10" s="5" t="n">
        <v>6</v>
      </c>
      <c r="B10" s="5" t="s">
        <v>60</v>
      </c>
      <c r="C10" s="5" t="s">
        <v>20</v>
      </c>
      <c r="D10" s="5" t="s">
        <v>147</v>
      </c>
      <c r="E10" s="5" t="s">
        <v>148</v>
      </c>
      <c r="F10" s="5" t="s">
        <v>149</v>
      </c>
      <c r="G10" s="5" t="s">
        <v>150</v>
      </c>
      <c r="H10" s="5" t="s">
        <v>151</v>
      </c>
      <c r="I10" s="5" t="s">
        <v>6</v>
      </c>
      <c r="J10" s="5" t="s">
        <v>152</v>
      </c>
    </row>
    <row r="11" customFormat="false" ht="55.2" hidden="false" customHeight="false" outlineLevel="0" collapsed="false">
      <c r="A11" s="4" t="n">
        <v>7</v>
      </c>
      <c r="B11" s="4" t="s">
        <v>60</v>
      </c>
      <c r="C11" s="4" t="s">
        <v>13</v>
      </c>
      <c r="D11" s="4" t="s">
        <v>153</v>
      </c>
      <c r="E11" s="4" t="s">
        <v>154</v>
      </c>
      <c r="F11" s="4" t="s">
        <v>155</v>
      </c>
      <c r="G11" s="4" t="s">
        <v>156</v>
      </c>
      <c r="H11" s="4" t="s">
        <v>157</v>
      </c>
      <c r="I11" s="4" t="s">
        <v>8</v>
      </c>
      <c r="J11" s="4" t="s">
        <v>158</v>
      </c>
    </row>
    <row r="12" customFormat="false" ht="55.2" hidden="false" customHeight="false" outlineLevel="0" collapsed="false">
      <c r="A12" s="5" t="n">
        <v>8</v>
      </c>
      <c r="B12" s="5" t="s">
        <v>67</v>
      </c>
      <c r="C12" s="5" t="s">
        <v>20</v>
      </c>
      <c r="D12" s="5" t="s">
        <v>159</v>
      </c>
      <c r="E12" s="5" t="s">
        <v>160</v>
      </c>
      <c r="F12" s="5" t="s">
        <v>161</v>
      </c>
      <c r="G12" s="5" t="s">
        <v>162</v>
      </c>
      <c r="H12" s="5" t="s">
        <v>163</v>
      </c>
      <c r="I12" s="5" t="s">
        <v>8</v>
      </c>
      <c r="J12" s="5" t="s">
        <v>164</v>
      </c>
    </row>
    <row r="13" customFormat="false" ht="41.75" hidden="false" customHeight="false" outlineLevel="0" collapsed="false">
      <c r="A13" s="4" t="n">
        <v>9</v>
      </c>
      <c r="B13" s="4" t="s">
        <v>67</v>
      </c>
      <c r="C13" s="4" t="s">
        <v>13</v>
      </c>
      <c r="D13" s="4" t="s">
        <v>165</v>
      </c>
      <c r="E13" s="4" t="s">
        <v>166</v>
      </c>
      <c r="F13" s="4" t="s">
        <v>167</v>
      </c>
      <c r="G13" s="4" t="s">
        <v>168</v>
      </c>
      <c r="H13" s="4" t="s">
        <v>169</v>
      </c>
      <c r="I13" s="4" t="s">
        <v>9</v>
      </c>
      <c r="J13" s="4" t="s">
        <v>170</v>
      </c>
    </row>
    <row r="14" customFormat="false" ht="55.2" hidden="false" customHeight="false" outlineLevel="0" collapsed="false">
      <c r="A14" s="5" t="n">
        <v>10</v>
      </c>
      <c r="B14" s="5" t="s">
        <v>74</v>
      </c>
      <c r="C14" s="5" t="s">
        <v>20</v>
      </c>
      <c r="D14" s="5" t="s">
        <v>171</v>
      </c>
      <c r="E14" s="5" t="s">
        <v>172</v>
      </c>
      <c r="F14" s="5" t="s">
        <v>173</v>
      </c>
      <c r="G14" s="5" t="s">
        <v>174</v>
      </c>
      <c r="H14" s="5" t="s">
        <v>175</v>
      </c>
      <c r="I14" s="5" t="s">
        <v>9</v>
      </c>
      <c r="J14" s="5" t="s">
        <v>176</v>
      </c>
    </row>
    <row r="15" customFormat="false" ht="41.75" hidden="false" customHeight="false" outlineLevel="0" collapsed="false">
      <c r="A15" s="4" t="n">
        <v>11</v>
      </c>
      <c r="B15" s="4" t="s">
        <v>74</v>
      </c>
      <c r="C15" s="4" t="s">
        <v>13</v>
      </c>
      <c r="D15" s="4" t="s">
        <v>177</v>
      </c>
      <c r="E15" s="4" t="s">
        <v>178</v>
      </c>
      <c r="F15" s="4" t="s">
        <v>179</v>
      </c>
      <c r="G15" s="4" t="s">
        <v>180</v>
      </c>
      <c r="H15" s="4" t="s">
        <v>181</v>
      </c>
      <c r="I15" s="4" t="s">
        <v>7</v>
      </c>
      <c r="J15" s="4" t="s">
        <v>182</v>
      </c>
    </row>
    <row r="16" customFormat="false" ht="41.75" hidden="false" customHeight="false" outlineLevel="0" collapsed="false">
      <c r="A16" s="5" t="n">
        <v>12</v>
      </c>
      <c r="B16" s="5" t="s">
        <v>81</v>
      </c>
      <c r="C16" s="5" t="s">
        <v>20</v>
      </c>
      <c r="D16" s="5" t="s">
        <v>183</v>
      </c>
      <c r="E16" s="5" t="s">
        <v>184</v>
      </c>
      <c r="F16" s="5" t="s">
        <v>185</v>
      </c>
      <c r="G16" s="5" t="s">
        <v>186</v>
      </c>
      <c r="H16" s="5" t="s">
        <v>187</v>
      </c>
      <c r="I16" s="5" t="s">
        <v>7</v>
      </c>
      <c r="J16" s="5" t="s">
        <v>188</v>
      </c>
    </row>
    <row r="17" customFormat="false" ht="41.75" hidden="false" customHeight="false" outlineLevel="0" collapsed="false">
      <c r="A17" s="4" t="n">
        <v>13</v>
      </c>
      <c r="B17" s="4" t="s">
        <v>88</v>
      </c>
      <c r="C17" s="4" t="s">
        <v>13</v>
      </c>
      <c r="D17" s="4" t="s">
        <v>189</v>
      </c>
      <c r="E17" s="4" t="s">
        <v>190</v>
      </c>
      <c r="F17" s="4" t="s">
        <v>191</v>
      </c>
      <c r="G17" s="4" t="s">
        <v>192</v>
      </c>
      <c r="H17" s="4" t="s">
        <v>193</v>
      </c>
      <c r="I17" s="4" t="s">
        <v>8</v>
      </c>
      <c r="J17" s="4" t="s">
        <v>194</v>
      </c>
    </row>
    <row r="18" customFormat="false" ht="55.2" hidden="false" customHeight="false" outlineLevel="0" collapsed="false">
      <c r="A18" s="5" t="n">
        <v>14</v>
      </c>
      <c r="B18" s="5" t="s">
        <v>95</v>
      </c>
      <c r="C18" s="5" t="s">
        <v>20</v>
      </c>
      <c r="D18" s="5" t="s">
        <v>195</v>
      </c>
      <c r="E18" s="5" t="s">
        <v>196</v>
      </c>
      <c r="F18" s="5" t="s">
        <v>197</v>
      </c>
      <c r="G18" s="5" t="s">
        <v>198</v>
      </c>
      <c r="H18" s="5" t="s">
        <v>199</v>
      </c>
      <c r="I18" s="5" t="s">
        <v>7</v>
      </c>
      <c r="J18" s="5" t="s">
        <v>200</v>
      </c>
    </row>
    <row r="19" customFormat="false" ht="41.75" hidden="false" customHeight="false" outlineLevel="0" collapsed="false">
      <c r="A19" s="4" t="n">
        <v>15</v>
      </c>
      <c r="B19" s="4" t="s">
        <v>201</v>
      </c>
      <c r="C19" s="4" t="s">
        <v>20</v>
      </c>
      <c r="D19" s="4" t="s">
        <v>202</v>
      </c>
      <c r="E19" s="4" t="s">
        <v>203</v>
      </c>
      <c r="F19" s="4" t="s">
        <v>204</v>
      </c>
      <c r="G19" s="4" t="s">
        <v>205</v>
      </c>
      <c r="H19" s="4" t="s">
        <v>206</v>
      </c>
      <c r="I19" s="4" t="s">
        <v>9</v>
      </c>
      <c r="J19" s="4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A800"/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0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0" t="s">
        <v>209</v>
      </c>
      <c r="B2" s="6"/>
    </row>
    <row r="4" customFormat="false" ht="15" hidden="false" customHeight="false" outlineLevel="0" collapsed="false">
      <c r="A4" s="7" t="s">
        <v>2</v>
      </c>
      <c r="B4" s="7" t="s">
        <v>210</v>
      </c>
      <c r="C4" s="7" t="s">
        <v>10</v>
      </c>
      <c r="D4" s="7" t="s">
        <v>211</v>
      </c>
    </row>
    <row r="5" customFormat="false" ht="15" hidden="false" customHeight="false" outlineLevel="0" collapsed="false">
      <c r="A5" s="4" t="n">
        <v>1</v>
      </c>
      <c r="B5" s="8"/>
      <c r="C5" s="9" t="str">
        <f aca="false">'Pre-Test'!I5</f>
        <v>B</v>
      </c>
      <c r="D5" s="4" t="str">
        <f aca="false">IF(B5="","",IF(B5=C5,1,0))</f>
        <v/>
      </c>
    </row>
    <row r="6" customFormat="false" ht="15" hidden="false" customHeight="false" outlineLevel="0" collapsed="false">
      <c r="A6" s="4" t="n">
        <v>2</v>
      </c>
      <c r="B6" s="8"/>
      <c r="C6" s="9" t="str">
        <f aca="false">'Pre-Test'!I6</f>
        <v>A</v>
      </c>
      <c r="D6" s="4" t="str">
        <f aca="false">IF(B6="","",IF(B6=C6,1,0))</f>
        <v/>
      </c>
    </row>
    <row r="7" customFormat="false" ht="15" hidden="false" customHeight="false" outlineLevel="0" collapsed="false">
      <c r="A7" s="4" t="n">
        <v>3</v>
      </c>
      <c r="B7" s="8"/>
      <c r="C7" s="9" t="str">
        <f aca="false">'Pre-Test'!I7</f>
        <v>C</v>
      </c>
      <c r="D7" s="4" t="str">
        <f aca="false">IF(B7="","",IF(B7=C7,1,0))</f>
        <v/>
      </c>
    </row>
    <row r="8" customFormat="false" ht="15" hidden="false" customHeight="false" outlineLevel="0" collapsed="false">
      <c r="A8" s="4" t="n">
        <v>4</v>
      </c>
      <c r="B8" s="8"/>
      <c r="C8" s="9" t="str">
        <f aca="false">'Pre-Test'!I8</f>
        <v>D</v>
      </c>
      <c r="D8" s="4" t="str">
        <f aca="false">IF(B8="","",IF(B8=C8,1,0))</f>
        <v/>
      </c>
    </row>
    <row r="9" customFormat="false" ht="15" hidden="false" customHeight="false" outlineLevel="0" collapsed="false">
      <c r="A9" s="4" t="n">
        <v>5</v>
      </c>
      <c r="B9" s="8"/>
      <c r="C9" s="9" t="str">
        <f aca="false">'Pre-Test'!I9</f>
        <v>A</v>
      </c>
      <c r="D9" s="4" t="str">
        <f aca="false">IF(B9="","",IF(B9=C9,1,0))</f>
        <v/>
      </c>
    </row>
    <row r="10" customFormat="false" ht="15" hidden="false" customHeight="false" outlineLevel="0" collapsed="false">
      <c r="A10" s="4" t="n">
        <v>6</v>
      </c>
      <c r="B10" s="8"/>
      <c r="C10" s="9" t="str">
        <f aca="false">'Pre-Test'!I10</f>
        <v>B</v>
      </c>
      <c r="D10" s="4" t="str">
        <f aca="false">IF(B10="","",IF(B10=C10,1,0))</f>
        <v/>
      </c>
    </row>
    <row r="11" customFormat="false" ht="15" hidden="false" customHeight="false" outlineLevel="0" collapsed="false">
      <c r="A11" s="4" t="n">
        <v>7</v>
      </c>
      <c r="B11" s="8"/>
      <c r="C11" s="9" t="str">
        <f aca="false">'Pre-Test'!I11</f>
        <v>A</v>
      </c>
      <c r="D11" s="4" t="str">
        <f aca="false">IF(B11="","",IF(B11=C11,1,0))</f>
        <v/>
      </c>
    </row>
    <row r="12" customFormat="false" ht="15" hidden="false" customHeight="false" outlineLevel="0" collapsed="false">
      <c r="A12" s="4" t="n">
        <v>8</v>
      </c>
      <c r="B12" s="8"/>
      <c r="C12" s="9" t="str">
        <f aca="false">'Pre-Test'!I12</f>
        <v>D</v>
      </c>
      <c r="D12" s="4" t="str">
        <f aca="false">IF(B12="","",IF(B12=C12,1,0))</f>
        <v/>
      </c>
    </row>
    <row r="13" customFormat="false" ht="15" hidden="false" customHeight="false" outlineLevel="0" collapsed="false">
      <c r="A13" s="4" t="n">
        <v>9</v>
      </c>
      <c r="B13" s="8"/>
      <c r="C13" s="9" t="str">
        <f aca="false">'Pre-Test'!I13</f>
        <v>B</v>
      </c>
      <c r="D13" s="4" t="str">
        <f aca="false">IF(B13="","",IF(B13=C13,1,0))</f>
        <v/>
      </c>
    </row>
    <row r="14" customFormat="false" ht="15" hidden="false" customHeight="false" outlineLevel="0" collapsed="false">
      <c r="A14" s="4" t="n">
        <v>10</v>
      </c>
      <c r="B14" s="8"/>
      <c r="C14" s="9" t="str">
        <f aca="false">'Pre-Test'!I14</f>
        <v>D</v>
      </c>
      <c r="D14" s="4" t="str">
        <f aca="false">IF(B14="","",IF(B14=C14,1,0))</f>
        <v/>
      </c>
    </row>
    <row r="15" customFormat="false" ht="15" hidden="false" customHeight="false" outlineLevel="0" collapsed="false">
      <c r="A15" s="4" t="n">
        <v>11</v>
      </c>
      <c r="B15" s="8"/>
      <c r="C15" s="9" t="str">
        <f aca="false">'Pre-Test'!I15</f>
        <v>C</v>
      </c>
      <c r="D15" s="4" t="str">
        <f aca="false">IF(B15="","",IF(B15=C15,1,0))</f>
        <v/>
      </c>
    </row>
    <row r="16" customFormat="false" ht="15" hidden="false" customHeight="false" outlineLevel="0" collapsed="false">
      <c r="A16" s="4" t="n">
        <v>12</v>
      </c>
      <c r="B16" s="8"/>
      <c r="C16" s="9" t="str">
        <f aca="false">'Pre-Test'!I16</f>
        <v>D</v>
      </c>
      <c r="D16" s="4" t="str">
        <f aca="false">IF(B16="","",IF(B16=C16,1,0))</f>
        <v/>
      </c>
    </row>
    <row r="17" customFormat="false" ht="15" hidden="false" customHeight="false" outlineLevel="0" collapsed="false">
      <c r="A17" s="4" t="n">
        <v>13</v>
      </c>
      <c r="B17" s="8"/>
      <c r="C17" s="9" t="str">
        <f aca="false">'Pre-Test'!I17</f>
        <v>C</v>
      </c>
      <c r="D17" s="4" t="str">
        <f aca="false">IF(B17="","",IF(B17=C17,1,0))</f>
        <v/>
      </c>
    </row>
    <row r="18" customFormat="false" ht="15" hidden="false" customHeight="false" outlineLevel="0" collapsed="false">
      <c r="A18" s="4" t="n">
        <v>14</v>
      </c>
      <c r="B18" s="8"/>
      <c r="C18" s="9" t="str">
        <f aca="false">'Pre-Test'!I18</f>
        <v>C</v>
      </c>
      <c r="D18" s="4" t="str">
        <f aca="false">IF(B18="","",IF(B18=C18,1,0))</f>
        <v/>
      </c>
    </row>
    <row r="19" customFormat="false" ht="15" hidden="false" customHeight="false" outlineLevel="0" collapsed="false">
      <c r="A19" s="4" t="n">
        <v>15</v>
      </c>
      <c r="B19" s="8"/>
      <c r="C19" s="9" t="str">
        <f aca="false">'Pre-Test'!I19</f>
        <v>A</v>
      </c>
      <c r="D19" s="4" t="str">
        <f aca="false">IF(B19="","",IF(B19=C19,1,0))</f>
        <v/>
      </c>
    </row>
    <row r="21" customFormat="false" ht="15" hidden="false" customHeight="false" outlineLevel="0" collapsed="false">
      <c r="A21" s="10" t="s">
        <v>212</v>
      </c>
      <c r="B21" s="10" t="n">
        <f aca="false">SUM(D5:D19)</f>
        <v>0</v>
      </c>
      <c r="C21" s="11" t="s">
        <v>213</v>
      </c>
      <c r="D21" s="12" t="str">
        <f aca="false">IF(COUNT(D5:D19)=0,"",B21/15)</f>
        <v/>
      </c>
    </row>
  </sheetData>
  <dataValidations count="1">
    <dataValidation allowBlank="true" errorStyle="stop" operator="between" showDropDown="false" showErrorMessage="false" showInputMessage="false" sqref="B5:B19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A800"/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0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0" t="s">
        <v>209</v>
      </c>
      <c r="B2" s="6"/>
    </row>
    <row r="4" customFormat="false" ht="15" hidden="false" customHeight="false" outlineLevel="0" collapsed="false">
      <c r="A4" s="7" t="s">
        <v>2</v>
      </c>
      <c r="B4" s="7" t="s">
        <v>210</v>
      </c>
      <c r="C4" s="7" t="s">
        <v>10</v>
      </c>
      <c r="D4" s="7" t="s">
        <v>211</v>
      </c>
    </row>
    <row r="5" customFormat="false" ht="15" hidden="false" customHeight="false" outlineLevel="0" collapsed="false">
      <c r="A5" s="4" t="n">
        <v>1</v>
      </c>
      <c r="B5" s="8"/>
      <c r="C5" s="9" t="str">
        <f aca="false">'Post-Test'!I5</f>
        <v>A</v>
      </c>
      <c r="D5" s="4" t="str">
        <f aca="false">IF(B5="","",IF(B5=C5,1,0))</f>
        <v/>
      </c>
    </row>
    <row r="6" customFormat="false" ht="15" hidden="false" customHeight="false" outlineLevel="0" collapsed="false">
      <c r="A6" s="4" t="n">
        <v>2</v>
      </c>
      <c r="B6" s="8"/>
      <c r="C6" s="9" t="str">
        <f aca="false">'Post-Test'!I6</f>
        <v>C</v>
      </c>
      <c r="D6" s="4" t="str">
        <f aca="false">IF(B6="","",IF(B6=C6,1,0))</f>
        <v/>
      </c>
    </row>
    <row r="7" customFormat="false" ht="15" hidden="false" customHeight="false" outlineLevel="0" collapsed="false">
      <c r="A7" s="4" t="n">
        <v>3</v>
      </c>
      <c r="B7" s="8"/>
      <c r="C7" s="9" t="str">
        <f aca="false">'Post-Test'!I7</f>
        <v>A</v>
      </c>
      <c r="D7" s="4" t="str">
        <f aca="false">IF(B7="","",IF(B7=C7,1,0))</f>
        <v/>
      </c>
    </row>
    <row r="8" customFormat="false" ht="15" hidden="false" customHeight="false" outlineLevel="0" collapsed="false">
      <c r="A8" s="4" t="n">
        <v>4</v>
      </c>
      <c r="B8" s="8"/>
      <c r="C8" s="9" t="str">
        <f aca="false">'Post-Test'!I8</f>
        <v>C</v>
      </c>
      <c r="D8" s="4" t="str">
        <f aca="false">IF(B8="","",IF(B8=C8,1,0))</f>
        <v/>
      </c>
    </row>
    <row r="9" customFormat="false" ht="15" hidden="false" customHeight="false" outlineLevel="0" collapsed="false">
      <c r="A9" s="4" t="n">
        <v>5</v>
      </c>
      <c r="B9" s="8"/>
      <c r="C9" s="9" t="str">
        <f aca="false">'Post-Test'!I9</f>
        <v>D</v>
      </c>
      <c r="D9" s="4" t="str">
        <f aca="false">IF(B9="","",IF(B9=C9,1,0))</f>
        <v/>
      </c>
    </row>
    <row r="10" customFormat="false" ht="15" hidden="false" customHeight="false" outlineLevel="0" collapsed="false">
      <c r="A10" s="4" t="n">
        <v>6</v>
      </c>
      <c r="B10" s="8"/>
      <c r="C10" s="9" t="str">
        <f aca="false">'Post-Test'!I10</f>
        <v>A</v>
      </c>
      <c r="D10" s="4" t="str">
        <f aca="false">IF(B10="","",IF(B10=C10,1,0))</f>
        <v/>
      </c>
    </row>
    <row r="11" customFormat="false" ht="15" hidden="false" customHeight="false" outlineLevel="0" collapsed="false">
      <c r="A11" s="4" t="n">
        <v>7</v>
      </c>
      <c r="B11" s="8"/>
      <c r="C11" s="9" t="str">
        <f aca="false">'Post-Test'!I11</f>
        <v>C</v>
      </c>
      <c r="D11" s="4" t="str">
        <f aca="false">IF(B11="","",IF(B11=C11,1,0))</f>
        <v/>
      </c>
    </row>
    <row r="12" customFormat="false" ht="15" hidden="false" customHeight="false" outlineLevel="0" collapsed="false">
      <c r="A12" s="4" t="n">
        <v>8</v>
      </c>
      <c r="B12" s="8"/>
      <c r="C12" s="9" t="str">
        <f aca="false">'Post-Test'!I12</f>
        <v>C</v>
      </c>
      <c r="D12" s="4" t="str">
        <f aca="false">IF(B12="","",IF(B12=C12,1,0))</f>
        <v/>
      </c>
    </row>
    <row r="13" customFormat="false" ht="15" hidden="false" customHeight="false" outlineLevel="0" collapsed="false">
      <c r="A13" s="4" t="n">
        <v>9</v>
      </c>
      <c r="B13" s="8"/>
      <c r="C13" s="9" t="str">
        <f aca="false">'Post-Test'!I13</f>
        <v>D</v>
      </c>
      <c r="D13" s="4" t="str">
        <f aca="false">IF(B13="","",IF(B13=C13,1,0))</f>
        <v/>
      </c>
    </row>
    <row r="14" customFormat="false" ht="15" hidden="false" customHeight="false" outlineLevel="0" collapsed="false">
      <c r="A14" s="4" t="n">
        <v>10</v>
      </c>
      <c r="B14" s="8"/>
      <c r="C14" s="9" t="str">
        <f aca="false">'Post-Test'!I14</f>
        <v>D</v>
      </c>
      <c r="D14" s="4" t="str">
        <f aca="false">IF(B14="","",IF(B14=C14,1,0))</f>
        <v/>
      </c>
    </row>
    <row r="15" customFormat="false" ht="15" hidden="false" customHeight="false" outlineLevel="0" collapsed="false">
      <c r="A15" s="4" t="n">
        <v>11</v>
      </c>
      <c r="B15" s="8"/>
      <c r="C15" s="9" t="str">
        <f aca="false">'Post-Test'!I15</f>
        <v>B</v>
      </c>
      <c r="D15" s="4" t="str">
        <f aca="false">IF(B15="","",IF(B15=C15,1,0))</f>
        <v/>
      </c>
    </row>
    <row r="16" customFormat="false" ht="15" hidden="false" customHeight="false" outlineLevel="0" collapsed="false">
      <c r="A16" s="4" t="n">
        <v>12</v>
      </c>
      <c r="B16" s="8"/>
      <c r="C16" s="9" t="str">
        <f aca="false">'Post-Test'!I16</f>
        <v>B</v>
      </c>
      <c r="D16" s="4" t="str">
        <f aca="false">IF(B16="","",IF(B16=C16,1,0))</f>
        <v/>
      </c>
    </row>
    <row r="17" customFormat="false" ht="15" hidden="false" customHeight="false" outlineLevel="0" collapsed="false">
      <c r="A17" s="4" t="n">
        <v>13</v>
      </c>
      <c r="B17" s="8"/>
      <c r="C17" s="9" t="str">
        <f aca="false">'Post-Test'!I17</f>
        <v>C</v>
      </c>
      <c r="D17" s="4" t="str">
        <f aca="false">IF(B17="","",IF(B17=C17,1,0))</f>
        <v/>
      </c>
    </row>
    <row r="18" customFormat="false" ht="15" hidden="false" customHeight="false" outlineLevel="0" collapsed="false">
      <c r="A18" s="4" t="n">
        <v>14</v>
      </c>
      <c r="B18" s="8"/>
      <c r="C18" s="9" t="str">
        <f aca="false">'Post-Test'!I18</f>
        <v>B</v>
      </c>
      <c r="D18" s="4" t="str">
        <f aca="false">IF(B18="","",IF(B18=C18,1,0))</f>
        <v/>
      </c>
    </row>
    <row r="19" customFormat="false" ht="15" hidden="false" customHeight="false" outlineLevel="0" collapsed="false">
      <c r="A19" s="4" t="n">
        <v>15</v>
      </c>
      <c r="B19" s="8"/>
      <c r="C19" s="9" t="str">
        <f aca="false">'Post-Test'!I19</f>
        <v>D</v>
      </c>
      <c r="D19" s="4" t="str">
        <f aca="false">IF(B19="","",IF(B19=C19,1,0))</f>
        <v/>
      </c>
    </row>
    <row r="21" customFormat="false" ht="15" hidden="false" customHeight="false" outlineLevel="0" collapsed="false">
      <c r="A21" s="10" t="s">
        <v>212</v>
      </c>
      <c r="B21" s="10" t="n">
        <f aca="false">SUM(D5:D19)</f>
        <v>0</v>
      </c>
      <c r="C21" s="11" t="s">
        <v>213</v>
      </c>
      <c r="D21" s="12" t="str">
        <f aca="false">IF(COUNT(D5:D19)=0,"",B21/15)</f>
        <v/>
      </c>
    </row>
  </sheetData>
  <dataValidations count="1">
    <dataValidation allowBlank="true" errorStyle="stop" operator="between" showDropDown="false" showErrorMessage="false" showInputMessage="false" sqref="B5:B19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2026-09-09T18:02:54Z</dcterms:created>
  <dc:creator>openpyxl</dc:creator>
  <dc:description/>
  <dc:language>en-US</dc:language>
  <cp:lastModifiedBy/>
  <dcterms:modified xsi:type="dcterms:W3CDTF">2026-09-09T18:02:54Z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